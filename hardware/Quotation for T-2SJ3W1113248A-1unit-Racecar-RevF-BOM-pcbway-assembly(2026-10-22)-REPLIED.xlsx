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 xmlns:r="http://schemas.openxmlformats.org/officeDocument/2006/relationships" name="Customer Reply" sheetId="2" state="visible" r:id="rId2"/>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0"/>
    <numFmt numFmtId="165" formatCode="\$0.00"/>
  </numFmts>
  <fonts count="13">
    <font>
      <name val="宋体"/>
      <charset val="134"/>
      <family val="0"/>
      <sz val="12"/>
    </font>
    <font>
      <name val="Arial"/>
      <family val="0"/>
      <sz val="10"/>
    </font>
    <font>
      <name val="Arial"/>
      <family val="0"/>
      <sz val="10"/>
    </font>
    <font>
      <name val="Arial"/>
      <family val="0"/>
      <sz val="10"/>
    </font>
    <font>
      <name val="Arial"/>
      <family val="2"/>
      <sz val="12"/>
    </font>
    <font>
      <name val="Arial"/>
      <family val="2"/>
      <b val="1"/>
      <sz val="11"/>
    </font>
    <font>
      <name val="Arial"/>
      <family val="2"/>
      <b val="1"/>
      <sz val="10"/>
    </font>
    <font>
      <name val="Arial"/>
      <family val="2"/>
      <color rgb="FFFF0000"/>
      <sz val="10"/>
    </font>
    <font>
      <name val="Arial"/>
      <family val="2"/>
      <sz val="10"/>
    </font>
    <font>
      <name val="宋体"/>
      <charset val="134"/>
      <family val="0"/>
      <sz val="10"/>
    </font>
    <font>
      <name val="Arial"/>
      <family val="2"/>
      <b val="1"/>
      <color rgb="FFFF0000"/>
      <sz val="10"/>
    </font>
    <font>
      <name val="Consolas"/>
      <b val="1"/>
      <sz val="9"/>
    </font>
    <font>
      <name val="Consolas"/>
      <sz val="9"/>
    </font>
  </fonts>
  <fills count="6">
    <fill>
      <patternFill/>
    </fill>
    <fill>
      <patternFill patternType="gray125"/>
    </fill>
    <fill>
      <patternFill patternType="solid">
        <fgColor rgb="FFFFFFFF"/>
        <bgColor rgb="FFFFFFCC"/>
      </patternFill>
    </fill>
    <fill>
      <patternFill patternType="solid">
        <fgColor rgb="FFC0C0C0"/>
        <bgColor rgb="FFCCCCFF"/>
      </patternFill>
    </fill>
    <fill>
      <patternFill patternType="solid">
        <fgColor rgb="FFFFFF00"/>
        <bgColor rgb="FFFFFF00"/>
      </patternFill>
    </fill>
    <fill>
      <patternFill patternType="solid">
        <fgColor rgb="00FFF2CC"/>
      </patternFill>
    </fill>
  </fills>
  <borders count="6">
    <border>
      <left/>
      <right/>
      <top/>
      <bottom/>
      <diagonal/>
    </border>
    <border>
      <left style="thin"/>
      <right style="thin"/>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center"/>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center"/>
    </xf>
    <xf numFmtId="0" fontId="4" fillId="0" borderId="0" applyAlignment="1" pivotButton="0" quotePrefix="0" xfId="0">
      <alignment horizontal="general" vertical="center"/>
    </xf>
    <xf numFmtId="0" fontId="5" fillId="2" borderId="1" applyAlignment="1" pivotButton="0" quotePrefix="0" xfId="0">
      <alignment horizontal="center" vertical="center"/>
    </xf>
    <xf numFmtId="0" fontId="4" fillId="0" borderId="0" applyAlignment="1" pivotButton="0" quotePrefix="0" xfId="0">
      <alignment horizontal="general" vertical="center"/>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6" fillId="4" borderId="1" applyAlignment="1" pivotButton="0" quotePrefix="0" xfId="0">
      <alignment horizontal="center" vertical="center"/>
    </xf>
    <xf numFmtId="0" fontId="8" fillId="0" borderId="1" applyAlignment="1" pivotButton="0" quotePrefix="0" xfId="0">
      <alignment horizontal="general" vertical="center"/>
    </xf>
    <xf numFmtId="0" fontId="8" fillId="0" borderId="1" applyAlignment="1" pivotButton="0" quotePrefix="0" xfId="0">
      <alignment horizontal="general" vertical="center" wrapText="1"/>
    </xf>
    <xf numFmtId="164" fontId="8" fillId="0" borderId="1" applyAlignment="1" pivotButton="0" quotePrefix="0" xfId="0">
      <alignment horizontal="general" vertical="center"/>
    </xf>
    <xf numFmtId="0" fontId="7" fillId="0" borderId="1" applyAlignment="1" pivotButton="0" quotePrefix="0" xfId="0">
      <alignment horizontal="general" vertical="center"/>
    </xf>
    <xf numFmtId="0" fontId="8" fillId="4" borderId="1" applyAlignment="1" pivotButton="0" quotePrefix="0" xfId="0">
      <alignment horizontal="general" vertical="center" wrapText="1"/>
    </xf>
    <xf numFmtId="165" fontId="10" fillId="0" borderId="1" applyAlignment="1" pivotButton="0" quotePrefix="0" xfId="0">
      <alignment horizontal="right" vertical="center"/>
    </xf>
    <xf numFmtId="0" fontId="4" fillId="0" borderId="0" applyAlignment="1" pivotButton="0" quotePrefix="0" xfId="0">
      <alignment horizontal="general" vertical="center"/>
    </xf>
    <xf numFmtId="0" fontId="0" fillId="0" borderId="0" pivotButton="0" quotePrefix="0" xfId="0"/>
    <xf numFmtId="0" fontId="5" fillId="2" borderId="1" applyAlignment="1" pivotButton="0" quotePrefix="0" xfId="0">
      <alignment horizontal="center" vertical="center"/>
    </xf>
    <xf numFmtId="0" fontId="0" fillId="0" borderId="4" pivotButton="0" quotePrefix="0" xfId="0"/>
    <xf numFmtId="0" fontId="0" fillId="0" borderId="5" pivotButton="0" quotePrefix="0" xfId="0"/>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6" fillId="4" borderId="1" applyAlignment="1" pivotButton="0" quotePrefix="0" xfId="0">
      <alignment horizontal="center" vertical="center"/>
    </xf>
    <xf numFmtId="0" fontId="8" fillId="0" borderId="1" applyAlignment="1" pivotButton="0" quotePrefix="0" xfId="0">
      <alignment horizontal="general" vertical="center"/>
    </xf>
    <xf numFmtId="0" fontId="8" fillId="0" borderId="1" applyAlignment="1" pivotButton="0" quotePrefix="0" xfId="0">
      <alignment horizontal="general" vertical="center" wrapText="1"/>
    </xf>
    <xf numFmtId="164" fontId="8" fillId="0" borderId="1" applyAlignment="1" pivotButton="0" quotePrefix="0" xfId="0">
      <alignment horizontal="general" vertical="center"/>
    </xf>
    <xf numFmtId="0" fontId="7" fillId="0" borderId="1" applyAlignment="1" pivotButton="0" quotePrefix="0" xfId="0">
      <alignment horizontal="general" vertical="center"/>
    </xf>
    <xf numFmtId="0" fontId="8" fillId="4" borderId="1" applyAlignment="1" pivotButton="0" quotePrefix="0" xfId="0">
      <alignment horizontal="general" vertical="center" wrapText="1"/>
    </xf>
    <xf numFmtId="0" fontId="8" fillId="5" borderId="1" applyAlignment="1" pivotButton="0" quotePrefix="0" xfId="0">
      <alignment vertical="top" wrapText="1"/>
    </xf>
    <xf numFmtId="165" fontId="10" fillId="0" borderId="1" applyAlignment="1" pivotButton="0" quotePrefix="0" xfId="0">
      <alignment horizontal="right" vertical="center"/>
    </xf>
    <xf numFmtId="0" fontId="11" fillId="0" borderId="0" pivotButton="0" quotePrefix="0" xfId="0"/>
    <xf numFmtId="0" fontId="12"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74880</colOff>
      <row>0</row>
      <rowOff>67320</rowOff>
    </from>
    <to>
      <col>2</col>
      <colOff>171720</colOff>
      <row>0</row>
      <rowOff>447840</rowOff>
    </to>
    <pic>
      <nvPicPr>
        <cNvPr id="1" name="图片 1" descr="pcbway-400x400.jp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4880" y="67320"/>
          <a:ext cx="1510200" cy="3805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IW55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9609375" defaultRowHeight="15" customHeight="0" zeroHeight="0" outlineLevelRow="0"/>
  <cols>
    <col width="6.24" customWidth="1" style="13" min="1" max="1"/>
    <col width="10.24" customWidth="1" style="13" min="2" max="2"/>
    <col width="5.37" customWidth="1" style="13" min="3" max="3"/>
    <col width="12.12" customWidth="1" style="13" min="4" max="4"/>
    <col width="18.37" customWidth="1" style="13" min="5" max="5"/>
    <col width="49.99" customWidth="1" style="13" min="6" max="6"/>
    <col width="20.25" customWidth="1" style="13" min="7" max="7"/>
    <col width="17.99" customWidth="1" style="13" min="8" max="8"/>
    <col width="11.99" customWidth="1" style="13" min="9" max="9"/>
    <col width="15.99" customWidth="1" style="13" min="10" max="10"/>
    <col width="25.99" customWidth="1" style="13" min="11" max="11"/>
    <col width="13.99" customWidth="1" style="13" min="12" max="14"/>
    <col width="19.74" customWidth="1" style="13" min="15" max="15"/>
    <col width="20.62" customWidth="1" style="13" min="16" max="16"/>
    <col width="8.99" customWidth="1" style="13" min="17" max="257"/>
  </cols>
  <sheetData>
    <row r="1" ht="39.95" customHeight="1" s="14">
      <c r="A1" s="15" t="inlineStr">
        <is>
          <t>PCBWay Bom Quotation, Product No.:T-2SJ3W1113248A</t>
        </is>
      </c>
      <c r="B1" s="16" t="n"/>
      <c r="C1" s="16" t="n"/>
      <c r="D1" s="16" t="n"/>
      <c r="E1" s="16" t="n"/>
      <c r="F1" s="16" t="n"/>
      <c r="G1" s="16" t="n"/>
      <c r="H1" s="16" t="n"/>
      <c r="I1" s="16" t="n"/>
      <c r="J1" s="16" t="n"/>
      <c r="K1" s="16" t="n"/>
      <c r="L1" s="16" t="n"/>
      <c r="M1" s="16" t="n"/>
      <c r="N1" s="17"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c r="AN1" s="13" t="n"/>
      <c r="AO1" s="13" t="n"/>
      <c r="AP1" s="13" t="n"/>
      <c r="AQ1" s="13" t="n"/>
      <c r="AR1" s="13" t="n"/>
      <c r="AS1" s="13" t="n"/>
      <c r="AT1" s="13" t="n"/>
      <c r="AU1" s="13" t="n"/>
      <c r="AV1" s="13" t="n"/>
      <c r="AW1" s="13" t="n"/>
      <c r="AX1" s="13" t="n"/>
      <c r="AY1" s="13" t="n"/>
      <c r="AZ1" s="13" t="n"/>
      <c r="BA1" s="13" t="n"/>
      <c r="BB1" s="13" t="n"/>
      <c r="BC1" s="13" t="n"/>
      <c r="BD1" s="13" t="n"/>
      <c r="BE1" s="13" t="n"/>
      <c r="BF1" s="13" t="n"/>
      <c r="BG1" s="13" t="n"/>
      <c r="BH1" s="13" t="n"/>
      <c r="BI1" s="13" t="n"/>
      <c r="BJ1" s="13" t="n"/>
      <c r="BK1" s="13" t="n"/>
      <c r="BL1" s="13" t="n"/>
      <c r="BM1" s="13" t="n"/>
      <c r="BN1" s="13" t="n"/>
      <c r="BO1" s="13" t="n"/>
      <c r="BP1" s="13" t="n"/>
      <c r="BQ1" s="13" t="n"/>
      <c r="BR1" s="13" t="n"/>
      <c r="BS1" s="13" t="n"/>
      <c r="BT1" s="13" t="n"/>
      <c r="BU1" s="13" t="n"/>
      <c r="BV1" s="13" t="n"/>
      <c r="BW1" s="13" t="n"/>
      <c r="BX1" s="13" t="n"/>
      <c r="BY1" s="13" t="n"/>
      <c r="BZ1" s="13" t="n"/>
      <c r="CA1" s="13" t="n"/>
      <c r="CB1" s="13" t="n"/>
      <c r="CC1" s="13" t="n"/>
      <c r="CD1" s="13" t="n"/>
      <c r="CE1" s="13" t="n"/>
      <c r="CF1" s="13" t="n"/>
      <c r="CG1" s="13" t="n"/>
      <c r="CH1" s="13" t="n"/>
      <c r="CI1" s="13" t="n"/>
      <c r="CJ1" s="13" t="n"/>
      <c r="CK1" s="13" t="n"/>
      <c r="CL1" s="13" t="n"/>
      <c r="CM1" s="13" t="n"/>
      <c r="CN1" s="13" t="n"/>
      <c r="CO1" s="13" t="n"/>
      <c r="CP1" s="13" t="n"/>
      <c r="CQ1" s="13" t="n"/>
      <c r="CR1" s="13" t="n"/>
      <c r="CS1" s="13" t="n"/>
      <c r="CT1" s="13" t="n"/>
      <c r="CU1" s="13" t="n"/>
      <c r="CV1" s="13" t="n"/>
      <c r="CW1" s="13" t="n"/>
      <c r="CX1" s="13" t="n"/>
      <c r="CY1" s="13" t="n"/>
      <c r="CZ1" s="13" t="n"/>
      <c r="DA1" s="13" t="n"/>
      <c r="DB1" s="13" t="n"/>
      <c r="DC1" s="13" t="n"/>
      <c r="DD1" s="13" t="n"/>
      <c r="DE1" s="13" t="n"/>
      <c r="DF1" s="13" t="n"/>
      <c r="DG1" s="13" t="n"/>
      <c r="DH1" s="13" t="n"/>
      <c r="DI1" s="13" t="n"/>
      <c r="DJ1" s="13" t="n"/>
      <c r="DK1" s="13" t="n"/>
      <c r="DL1" s="13" t="n"/>
      <c r="DM1" s="13" t="n"/>
      <c r="DN1" s="13" t="n"/>
      <c r="DO1" s="13" t="n"/>
      <c r="DP1" s="13" t="n"/>
      <c r="DQ1" s="13" t="n"/>
      <c r="DR1" s="13" t="n"/>
      <c r="DS1" s="13" t="n"/>
      <c r="DT1" s="13" t="n"/>
      <c r="DU1" s="13" t="n"/>
      <c r="DV1" s="13" t="n"/>
      <c r="DW1" s="13" t="n"/>
      <c r="DX1" s="13" t="n"/>
      <c r="DY1" s="13" t="n"/>
      <c r="DZ1" s="13" t="n"/>
      <c r="EA1" s="13" t="n"/>
      <c r="EB1" s="13" t="n"/>
      <c r="EC1" s="13" t="n"/>
      <c r="ED1" s="13" t="n"/>
      <c r="EE1" s="13" t="n"/>
      <c r="EF1" s="13" t="n"/>
      <c r="EG1" s="13" t="n"/>
      <c r="EH1" s="13" t="n"/>
      <c r="EI1" s="13" t="n"/>
      <c r="EJ1" s="13" t="n"/>
      <c r="EK1" s="13" t="n"/>
      <c r="EL1" s="13" t="n"/>
      <c r="EM1" s="13" t="n"/>
      <c r="EN1" s="13" t="n"/>
      <c r="EO1" s="13" t="n"/>
      <c r="EP1" s="13" t="n"/>
      <c r="EQ1" s="13" t="n"/>
      <c r="ER1" s="13" t="n"/>
      <c r="ES1" s="13" t="n"/>
      <c r="ET1" s="13" t="n"/>
      <c r="EU1" s="13" t="n"/>
      <c r="EV1" s="13" t="n"/>
      <c r="EW1" s="13" t="n"/>
      <c r="EX1" s="13" t="n"/>
      <c r="EY1" s="13" t="n"/>
      <c r="EZ1" s="13" t="n"/>
      <c r="FA1" s="13" t="n"/>
      <c r="FB1" s="13" t="n"/>
      <c r="FC1" s="13" t="n"/>
      <c r="FD1" s="13" t="n"/>
      <c r="FE1" s="13" t="n"/>
      <c r="FF1" s="13" t="n"/>
      <c r="FG1" s="13" t="n"/>
      <c r="FH1" s="13" t="n"/>
      <c r="FI1" s="13" t="n"/>
      <c r="FJ1" s="13" t="n"/>
      <c r="FK1" s="13" t="n"/>
      <c r="FL1" s="13" t="n"/>
      <c r="FM1" s="13" t="n"/>
      <c r="FN1" s="13" t="n"/>
      <c r="FO1" s="13" t="n"/>
      <c r="FP1" s="13" t="n"/>
      <c r="FQ1" s="13" t="n"/>
      <c r="FR1" s="13" t="n"/>
      <c r="FS1" s="13" t="n"/>
      <c r="FT1" s="13" t="n"/>
      <c r="FU1" s="13" t="n"/>
      <c r="FV1" s="13" t="n"/>
      <c r="FW1" s="13" t="n"/>
      <c r="FX1" s="13" t="n"/>
      <c r="FY1" s="13" t="n"/>
      <c r="FZ1" s="13" t="n"/>
      <c r="GA1" s="13" t="n"/>
      <c r="GB1" s="13" t="n"/>
      <c r="GC1" s="13" t="n"/>
      <c r="GD1" s="13" t="n"/>
      <c r="GE1" s="13" t="n"/>
      <c r="GF1" s="13" t="n"/>
      <c r="GG1" s="13" t="n"/>
      <c r="GH1" s="13" t="n"/>
      <c r="GI1" s="13" t="n"/>
      <c r="GJ1" s="13" t="n"/>
      <c r="GK1" s="13" t="n"/>
      <c r="GL1" s="13" t="n"/>
      <c r="GM1" s="13" t="n"/>
      <c r="GN1" s="13" t="n"/>
      <c r="GO1" s="13" t="n"/>
      <c r="GP1" s="13" t="n"/>
      <c r="GQ1" s="13" t="n"/>
      <c r="GR1" s="13" t="n"/>
      <c r="GS1" s="13" t="n"/>
      <c r="GT1" s="13" t="n"/>
      <c r="GU1" s="13" t="n"/>
      <c r="GV1" s="13" t="n"/>
      <c r="GW1" s="13" t="n"/>
      <c r="GX1" s="13" t="n"/>
      <c r="GY1" s="13" t="n"/>
      <c r="GZ1" s="13" t="n"/>
      <c r="HA1" s="13" t="n"/>
      <c r="HB1" s="13" t="n"/>
      <c r="HC1" s="13" t="n"/>
      <c r="HD1" s="13" t="n"/>
      <c r="HE1" s="13" t="n"/>
      <c r="HF1" s="13" t="n"/>
      <c r="HG1" s="13" t="n"/>
      <c r="HH1" s="13" t="n"/>
      <c r="HI1" s="13" t="n"/>
      <c r="HJ1" s="13" t="n"/>
      <c r="HK1" s="13" t="n"/>
      <c r="HL1" s="13" t="n"/>
      <c r="HM1" s="13" t="n"/>
      <c r="HN1" s="13" t="n"/>
      <c r="HO1" s="13" t="n"/>
      <c r="HP1" s="13" t="n"/>
      <c r="HQ1" s="13" t="n"/>
      <c r="HR1" s="13" t="n"/>
      <c r="HS1" s="13" t="n"/>
      <c r="HT1" s="13" t="n"/>
      <c r="HU1" s="13" t="n"/>
      <c r="HV1" s="13" t="n"/>
      <c r="HW1" s="13" t="n"/>
      <c r="HX1" s="13" t="n"/>
      <c r="HY1" s="13" t="n"/>
      <c r="HZ1" s="13" t="n"/>
      <c r="IA1" s="13" t="n"/>
      <c r="IB1" s="13" t="n"/>
      <c r="IC1" s="13" t="n"/>
      <c r="ID1" s="13" t="n"/>
      <c r="IE1" s="13" t="n"/>
      <c r="IF1" s="13" t="n"/>
      <c r="IG1" s="13" t="n"/>
      <c r="IH1" s="13" t="n"/>
      <c r="II1" s="13" t="n"/>
      <c r="IJ1" s="13" t="n"/>
      <c r="IK1" s="13" t="n"/>
      <c r="IL1" s="13" t="n"/>
      <c r="IM1" s="13" t="n"/>
      <c r="IN1" s="13" t="n"/>
      <c r="IO1" s="13" t="n"/>
      <c r="IP1" s="13" t="n"/>
      <c r="IQ1" s="13" t="n"/>
      <c r="IR1" s="13" t="n"/>
      <c r="IS1" s="13" t="n"/>
      <c r="IT1" s="13" t="n"/>
      <c r="IU1" s="13" t="n"/>
      <c r="IV1" s="13" t="n"/>
      <c r="IW1" s="13" t="n"/>
    </row>
    <row r="2" ht="25.6" customHeight="1" s="14">
      <c r="A2" s="18" t="inlineStr">
        <is>
          <t>Item #</t>
        </is>
      </c>
      <c r="B2" s="19" t="inlineStr">
        <is>
          <t>*Designator</t>
        </is>
      </c>
      <c r="C2" s="19" t="inlineStr">
        <is>
          <t>*Qty</t>
        </is>
      </c>
      <c r="D2" s="18" t="inlineStr">
        <is>
          <t>Manufacturer</t>
        </is>
      </c>
      <c r="E2" s="19" t="inlineStr">
        <is>
          <t>*Mfg Part #</t>
        </is>
      </c>
      <c r="F2" s="18" t="inlineStr">
        <is>
          <t>Description / Value</t>
        </is>
      </c>
      <c r="G2" s="19" t="inlineStr">
        <is>
          <t>*Package/Footprint</t>
        </is>
      </c>
      <c r="H2" s="19" t="inlineStr">
        <is>
          <t>*Unit Price(1 unit)</t>
        </is>
      </c>
      <c r="I2" s="19" t="inlineStr">
        <is>
          <t>*Total</t>
        </is>
      </c>
      <c r="J2" s="19" t="inlineStr">
        <is>
          <t>*Delivery Time</t>
        </is>
      </c>
      <c r="K2" s="19" t="inlineStr">
        <is>
          <t>*Actual Purchase Mfg Part #</t>
        </is>
      </c>
      <c r="L2" s="19" t="inlineStr">
        <is>
          <t>*PCBWay Note</t>
        </is>
      </c>
      <c r="M2" s="20" t="inlineStr">
        <is>
          <t>Customer Reply</t>
        </is>
      </c>
      <c r="N2" s="20" t="inlineStr">
        <is>
          <t>PCBWay Update</t>
        </is>
      </c>
    </row>
    <row r="3" ht="15" customHeight="1" s="14">
      <c r="A3" s="21" t="n">
        <v>1</v>
      </c>
      <c r="B3" s="21" t="inlineStr">
        <is>
          <t>Q3</t>
        </is>
      </c>
      <c r="C3" s="21" t="n">
        <v>1</v>
      </c>
      <c r="D3" s="21" t="inlineStr">
        <is>
          <t>Alpha &amp; Omega Semiconductor</t>
        </is>
      </c>
      <c r="E3" s="21" t="inlineStr">
        <is>
          <t>AO4485</t>
        </is>
      </c>
      <c r="F3" s="22" t="inlineStr">
        <is>
          <t>AO4485 P-FET 40V (Q_REV)</t>
        </is>
      </c>
      <c r="G3" s="21" t="inlineStr">
        <is>
          <t>SOIC-8_3.9x4.9mm_P1.27mm</t>
        </is>
      </c>
      <c r="H3" s="23" t="n">
        <v>0.805</v>
      </c>
      <c r="I3" s="23">
        <f>C3*H3*1</f>
        <v/>
      </c>
      <c r="J3" s="21" t="n"/>
      <c r="K3" s="24" t="inlineStr">
        <is>
          <t>AO4485</t>
        </is>
      </c>
      <c r="L3" s="22" t="n"/>
      <c r="M3" s="21" t="n"/>
      <c r="N3" s="21" t="n"/>
    </row>
    <row r="4" ht="15" customHeight="1" s="14">
      <c r="A4" s="21" t="n">
        <v>2</v>
      </c>
      <c r="B4" s="21" t="inlineStr">
        <is>
          <t>R51 R54 R3 R4 R9 R12 R37 R38 R39 R44</t>
        </is>
      </c>
      <c r="C4" s="21" t="n">
        <v>10</v>
      </c>
      <c r="D4" s="21" t="inlineStr">
        <is>
          <t>Yageo</t>
        </is>
      </c>
      <c r="E4" s="21" t="inlineStr">
        <is>
          <t>RC0805FR-0710KL</t>
        </is>
      </c>
      <c r="F4" s="22" t="inlineStr">
        <is>
          <t>10k 1% (R_REVG)</t>
        </is>
      </c>
      <c r="G4" s="21" t="inlineStr">
        <is>
          <t>R_0805_2012Metric</t>
        </is>
      </c>
      <c r="H4" s="23" t="n">
        <v>0.022</v>
      </c>
      <c r="I4" s="23">
        <f>C4*H4*1</f>
        <v/>
      </c>
      <c r="J4" s="21" t="n"/>
      <c r="K4" s="24" t="inlineStr">
        <is>
          <t>RC0805FR-0710KL</t>
        </is>
      </c>
      <c r="L4" s="22" t="n"/>
      <c r="M4" s="21" t="n"/>
      <c r="N4" s="21" t="n"/>
    </row>
    <row r="5" ht="38.25" customHeight="1" s="14">
      <c r="A5" s="21" t="n">
        <v>3</v>
      </c>
      <c r="B5" s="21" t="inlineStr">
        <is>
          <t>D24</t>
        </is>
      </c>
      <c r="C5" s="21" t="n">
        <v>1</v>
      </c>
      <c r="D5" s="21" t="inlineStr">
        <is>
          <t>Nexperia</t>
        </is>
      </c>
      <c r="E5" s="21" t="inlineStr">
        <is>
          <t>BZX84C15</t>
        </is>
      </c>
      <c r="F5" s="22" t="inlineStr">
        <is>
          <t>BZX84C15 (D_REVZ)</t>
        </is>
      </c>
      <c r="G5" s="21" t="inlineStr">
        <is>
          <t>SOT-23</t>
        </is>
      </c>
      <c r="H5" s="23" t="n">
        <v>0.15</v>
      </c>
      <c r="I5" s="23">
        <f>C5*H5*1</f>
        <v/>
      </c>
      <c r="J5" s="21" t="n"/>
      <c r="K5" s="24" t="inlineStr">
        <is>
          <t>BZX84C15</t>
        </is>
      </c>
      <c r="L5" s="25" t="inlineStr">
        <is>
          <t>The part we will supply is 	BZX84-C15,215  OK？</t>
        </is>
      </c>
      <c r="M5" s="26" t="inlineStr">
        <is>
          <t>Yes - BZX84-C15,215 (Nexperia) is correct, please supply that exact part. It is the gate clamp on the reverse-voltage FET.</t>
        </is>
      </c>
      <c r="N5" s="21" t="n"/>
    </row>
    <row r="6" ht="15" customHeight="1" s="14">
      <c r="A6" s="21" t="n">
        <v>4</v>
      </c>
      <c r="B6" s="21" t="inlineStr">
        <is>
          <t>C43 C3 C5 C7 C49 C50 C9 C12 C15 C16 C17 C19 C20 C21 C22 C23 C24 C25 C26 C40 C27 C28 C29 C30 C31 C32 C33 C35 C37 C38 C39</t>
        </is>
      </c>
      <c r="C6" s="21" t="n">
        <v>31</v>
      </c>
      <c r="D6" s="21" t="inlineStr">
        <is>
          <t>Murata</t>
        </is>
      </c>
      <c r="E6" s="21" t="inlineStr">
        <is>
          <t>GRM21BR71H104KA01L</t>
        </is>
      </c>
      <c r="F6" s="22" t="inlineStr">
        <is>
          <t>100n (C_BOOT)</t>
        </is>
      </c>
      <c r="G6" s="21" t="inlineStr">
        <is>
          <t>C_0805_2012Metric</t>
        </is>
      </c>
      <c r="H6" s="23" t="n">
        <v>0.068</v>
      </c>
      <c r="I6" s="23">
        <f>C6*H6*1</f>
        <v/>
      </c>
      <c r="J6" s="21" t="n"/>
      <c r="K6" s="24" t="inlineStr">
        <is>
          <t>GRM21BR71H104KA01L</t>
        </is>
      </c>
      <c r="L6" s="22" t="n"/>
      <c r="M6" s="21" t="n"/>
      <c r="N6" s="21" t="n"/>
    </row>
    <row r="7" ht="15" customHeight="1" s="14">
      <c r="A7" s="21" t="n">
        <v>5</v>
      </c>
      <c r="B7" s="21" t="inlineStr">
        <is>
          <t>U2</t>
        </is>
      </c>
      <c r="C7" s="21" t="n">
        <v>1</v>
      </c>
      <c r="D7" s="21" t="inlineStr">
        <is>
          <t>Texas Instruments</t>
        </is>
      </c>
      <c r="E7" s="21" t="inlineStr">
        <is>
          <t>TPS54560BDDAR</t>
        </is>
      </c>
      <c r="F7" s="22" t="inlineStr">
        <is>
          <t>TPS54560B 5V 5A BUCK (U2)</t>
        </is>
      </c>
      <c r="G7" s="21" t="inlineStr">
        <is>
          <t>SOIC-8-1EP_3.9x4.9mm_P1.27mm_EP2.41x3.3mm</t>
        </is>
      </c>
      <c r="H7" s="23" t="n">
        <v>1.55</v>
      </c>
      <c r="I7" s="23">
        <f>C7*H7*1</f>
        <v/>
      </c>
      <c r="J7" s="21" t="n"/>
      <c r="K7" s="24" t="inlineStr">
        <is>
          <t>TPS54560BDDAR</t>
        </is>
      </c>
      <c r="L7" s="22" t="n"/>
      <c r="M7" s="21" t="n"/>
      <c r="N7" s="21" t="n"/>
    </row>
    <row r="8" ht="15" customHeight="1" s="14">
      <c r="A8" s="21" t="n">
        <v>6</v>
      </c>
      <c r="B8" s="21" t="inlineStr">
        <is>
          <t>C41 C42</t>
        </is>
      </c>
      <c r="C8" s="21" t="n">
        <v>2</v>
      </c>
      <c r="D8" s="21" t="inlineStr">
        <is>
          <t>Murata</t>
        </is>
      </c>
      <c r="E8" s="21" t="inlineStr">
        <is>
          <t>GRM32ER71H106KA12L</t>
        </is>
      </c>
      <c r="F8" s="22" t="inlineStr">
        <is>
          <t>10uF 50V X7R 1210 (C_IN1)</t>
        </is>
      </c>
      <c r="G8" s="21" t="inlineStr">
        <is>
          <t>C_1210_3225Metric</t>
        </is>
      </c>
      <c r="H8" s="23" t="n">
        <v>3.35</v>
      </c>
      <c r="I8" s="23">
        <f>C8*H8*1</f>
        <v/>
      </c>
      <c r="J8" s="21" t="n"/>
      <c r="K8" s="24" t="inlineStr">
        <is>
          <t>GRM32ER71H106KA12L</t>
        </is>
      </c>
      <c r="L8" s="22" t="n"/>
      <c r="M8" s="21" t="n"/>
      <c r="N8" s="21" t="n"/>
    </row>
    <row r="9" ht="41.25" customHeight="1" s="14">
      <c r="A9" s="21" t="n">
        <v>7</v>
      </c>
      <c r="B9" s="21" t="inlineStr">
        <is>
          <t>D23</t>
        </is>
      </c>
      <c r="C9" s="21" t="n">
        <v>1</v>
      </c>
      <c r="D9" s="21" t="inlineStr">
        <is>
          <t>BORN</t>
        </is>
      </c>
      <c r="E9" s="21" t="inlineStr">
        <is>
          <t>SS56</t>
        </is>
      </c>
      <c r="F9" s="22" t="inlineStr">
        <is>
          <t>SMB (DO-214AA) 5 A / 60 V Schottky ONLY - e.g. LCSC C2687867 (BORN SS56 SMB) or Diotec SK56. Do NOT fit the DO-214AC (SMA) SS56: it does not fit this land pattern.</t>
        </is>
      </c>
      <c r="G9" s="21" t="inlineStr">
        <is>
          <t>D_SMB</t>
        </is>
      </c>
      <c r="H9" s="23" t="n">
        <v>0.36</v>
      </c>
      <c r="I9" s="23">
        <f>C9*H9*1</f>
        <v/>
      </c>
      <c r="J9" s="21" t="n"/>
      <c r="K9" s="24" t="inlineStr">
        <is>
          <t>SS56</t>
        </is>
      </c>
      <c r="L9" s="22" t="n"/>
      <c r="M9" s="26" t="inlineStr">
        <is>
          <t>Must be the SMB (DO-214AA) 5 A / 60 V part: BORN SS56 SMB (LCSC C2687867) or Diotec SK56. Do NOT use the SMA / DO-214AC SS56 - it does not fit the land pattern.</t>
        </is>
      </c>
      <c r="N9" s="21" t="n"/>
    </row>
    <row r="10" ht="15" customHeight="1" s="14">
      <c r="A10" s="21" t="n">
        <v>8</v>
      </c>
      <c r="B10" s="21" t="inlineStr">
        <is>
          <t>L2</t>
        </is>
      </c>
      <c r="C10" s="21" t="n">
        <v>1</v>
      </c>
      <c r="D10" s="21" t="inlineStr">
        <is>
          <t>Vishay</t>
        </is>
      </c>
      <c r="E10" s="21" t="inlineStr">
        <is>
          <t>IHLP4040DZER6R8M01</t>
        </is>
      </c>
      <c r="F10" s="22" t="inlineStr">
        <is>
          <t>6.8uH 8A RMS SHIELDED (L_MAIN)</t>
        </is>
      </c>
      <c r="G10" s="21" t="inlineStr">
        <is>
          <t>L_Vishay_IHLP-4040</t>
        </is>
      </c>
      <c r="H10" s="23" t="n">
        <v>2.745</v>
      </c>
      <c r="I10" s="23">
        <f>C10*H10*1</f>
        <v/>
      </c>
      <c r="J10" s="21" t="n"/>
      <c r="K10" s="24" t="inlineStr">
        <is>
          <t>IHLP4040DZER6R8M01</t>
        </is>
      </c>
      <c r="L10" s="22" t="n"/>
      <c r="M10" s="21" t="n"/>
      <c r="N10" s="21" t="n"/>
    </row>
    <row r="11" ht="15" customHeight="1" s="14">
      <c r="A11" s="21" t="n">
        <v>9</v>
      </c>
      <c r="B11" s="21" t="inlineStr">
        <is>
          <t>C44 C45 C46</t>
        </is>
      </c>
      <c r="C11" s="21" t="n">
        <v>3</v>
      </c>
      <c r="D11" s="21" t="inlineStr">
        <is>
          <t>Murata</t>
        </is>
      </c>
      <c r="E11" s="21" t="inlineStr">
        <is>
          <t>GRM32ER61C476KE15L</t>
        </is>
      </c>
      <c r="F11" s="22" t="inlineStr">
        <is>
          <t>47uF 16V X5R 1210 (C_OUT1)</t>
        </is>
      </c>
      <c r="G11" s="21" t="inlineStr">
        <is>
          <t>C_1210_3225Metric</t>
        </is>
      </c>
      <c r="H11" s="23" t="n">
        <v>1.11</v>
      </c>
      <c r="I11" s="23">
        <f>C11*H11*1</f>
        <v/>
      </c>
      <c r="J11" s="21" t="n"/>
      <c r="K11" s="24" t="inlineStr">
        <is>
          <t>GRM32ER61C476KE15L</t>
        </is>
      </c>
      <c r="L11" s="22" t="n"/>
      <c r="M11" s="21" t="n"/>
      <c r="N11" s="21" t="n"/>
    </row>
    <row r="12" ht="15" customHeight="1" s="14">
      <c r="A12" s="21" t="n">
        <v>10</v>
      </c>
      <c r="B12" s="21" t="inlineStr">
        <is>
          <t>R53</t>
        </is>
      </c>
      <c r="C12" s="21" t="n">
        <v>1</v>
      </c>
      <c r="D12" s="21" t="inlineStr">
        <is>
          <t>Yageo</t>
        </is>
      </c>
      <c r="E12" s="21" t="inlineStr">
        <is>
          <t>RT0805BRD0752K3L</t>
        </is>
      </c>
      <c r="F12" s="22" t="inlineStr">
        <is>
          <t>52.3k 0.1% (R_FBH)</t>
        </is>
      </c>
      <c r="G12" s="21" t="inlineStr">
        <is>
          <t>R_0805_2012Metric</t>
        </is>
      </c>
      <c r="H12" s="23" t="n">
        <v>1.103</v>
      </c>
      <c r="I12" s="23">
        <f>C12*H12*1</f>
        <v/>
      </c>
      <c r="J12" s="21" t="n"/>
      <c r="K12" s="24" t="inlineStr">
        <is>
          <t>RT0805BRD0752K3L</t>
        </is>
      </c>
      <c r="L12" s="22" t="n"/>
      <c r="M12" s="21" t="n"/>
      <c r="N12" s="21" t="n"/>
    </row>
    <row r="13" ht="15" customHeight="1" s="14">
      <c r="A13" s="21" t="n">
        <v>11</v>
      </c>
      <c r="B13" s="21" t="inlineStr">
        <is>
          <t>R55</t>
        </is>
      </c>
      <c r="C13" s="21" t="n">
        <v>1</v>
      </c>
      <c r="D13" s="21" t="inlineStr">
        <is>
          <t>Yageo</t>
        </is>
      </c>
      <c r="E13" s="21" t="inlineStr">
        <is>
          <t>RC0805FR-0716K9L</t>
        </is>
      </c>
      <c r="F13" s="22" t="inlineStr">
        <is>
          <t>16.9k 1% (R_COMP)</t>
        </is>
      </c>
      <c r="G13" s="21" t="inlineStr">
        <is>
          <t>R_0805_2012Metric</t>
        </is>
      </c>
      <c r="H13" s="23" t="n">
        <v>0.137</v>
      </c>
      <c r="I13" s="23">
        <f>C13*H13*1</f>
        <v/>
      </c>
      <c r="J13" s="21" t="n"/>
      <c r="K13" s="24" t="inlineStr">
        <is>
          <t>RC0805FR-0716K9L</t>
        </is>
      </c>
      <c r="L13" s="22" t="n"/>
      <c r="M13" s="21" t="n"/>
      <c r="N13" s="21" t="n"/>
    </row>
    <row r="14" ht="15" customHeight="1" s="14">
      <c r="A14" s="21" t="n">
        <v>12</v>
      </c>
      <c r="B14" s="21" t="inlineStr">
        <is>
          <t>C47 C52</t>
        </is>
      </c>
      <c r="C14" s="21" t="n">
        <v>2</v>
      </c>
      <c r="D14" s="21" t="inlineStr">
        <is>
          <t>Samsung</t>
        </is>
      </c>
      <c r="E14" s="21" t="inlineStr">
        <is>
          <t>CL21B472KBANNNC</t>
        </is>
      </c>
      <c r="F14" s="22" t="inlineStr">
        <is>
          <t>4.7n (C_COMP)</t>
        </is>
      </c>
      <c r="G14" s="21" t="inlineStr">
        <is>
          <t>C_0805_2012Metric</t>
        </is>
      </c>
      <c r="H14" s="23" t="n">
        <v>0.192</v>
      </c>
      <c r="I14" s="23">
        <f>C14*H14*1</f>
        <v/>
      </c>
      <c r="J14" s="21" t="n"/>
      <c r="K14" s="24" t="inlineStr">
        <is>
          <t>CL21B472KBANNNC</t>
        </is>
      </c>
      <c r="L14" s="22" t="n"/>
      <c r="M14" s="21" t="n"/>
      <c r="N14" s="21" t="n"/>
    </row>
    <row r="15" ht="15" customHeight="1" s="14">
      <c r="A15" s="21" t="n">
        <v>13</v>
      </c>
      <c r="B15" s="21" t="inlineStr">
        <is>
          <t>C48</t>
        </is>
      </c>
      <c r="C15" s="21" t="n">
        <v>1</v>
      </c>
      <c r="D15" s="21" t="inlineStr">
        <is>
          <t>Samsung</t>
        </is>
      </c>
      <c r="E15" s="21" t="inlineStr">
        <is>
          <t>CL21C470JBANNNC</t>
        </is>
      </c>
      <c r="F15" s="22" t="inlineStr">
        <is>
          <t>47p (C_CPOLE)</t>
        </is>
      </c>
      <c r="G15" s="21" t="inlineStr">
        <is>
          <t>C_0805_2012Metric</t>
        </is>
      </c>
      <c r="H15" s="23" t="n">
        <v>0.287</v>
      </c>
      <c r="I15" s="23">
        <f>C15*H15*1</f>
        <v/>
      </c>
      <c r="J15" s="21" t="n"/>
      <c r="K15" s="24" t="inlineStr">
        <is>
          <t>CL21C470JBANNNC</t>
        </is>
      </c>
      <c r="L15" s="22" t="n"/>
      <c r="M15" s="21" t="n"/>
      <c r="N15" s="21" t="n"/>
    </row>
    <row r="16" ht="15" customHeight="1" s="14">
      <c r="A16" s="21" t="n">
        <v>14</v>
      </c>
      <c r="B16" s="21" t="inlineStr">
        <is>
          <t>R52 R8</t>
        </is>
      </c>
      <c r="C16" s="21" t="n">
        <v>2</v>
      </c>
      <c r="D16" s="21" t="inlineStr">
        <is>
          <t>Yageo</t>
        </is>
      </c>
      <c r="E16" s="21" t="inlineStr">
        <is>
          <t>RC0805FR-07240KL</t>
        </is>
      </c>
      <c r="F16" s="22" t="inlineStr">
        <is>
          <t>240k 1% (R_RT)</t>
        </is>
      </c>
      <c r="G16" s="21" t="inlineStr">
        <is>
          <t>R_0805_2012Metric</t>
        </is>
      </c>
      <c r="H16" s="23" t="n">
        <v>0.102</v>
      </c>
      <c r="I16" s="23">
        <f>C16*H16*1</f>
        <v/>
      </c>
      <c r="J16" s="21" t="n"/>
      <c r="K16" s="24" t="inlineStr">
        <is>
          <t>RC0805FR-07240KL</t>
        </is>
      </c>
      <c r="L16" s="22" t="n"/>
      <c r="M16" s="21" t="n"/>
      <c r="N16" s="21" t="n"/>
    </row>
    <row r="17" ht="15" customHeight="1" s="14">
      <c r="A17" s="21" t="n">
        <v>15</v>
      </c>
      <c r="B17" s="21" t="inlineStr">
        <is>
          <t>R56</t>
        </is>
      </c>
      <c r="C17" s="21" t="n">
        <v>1</v>
      </c>
      <c r="D17" s="21" t="inlineStr">
        <is>
          <t>Yageo</t>
        </is>
      </c>
      <c r="E17" s="21" t="inlineStr">
        <is>
          <t>RC0805FR-07680KL</t>
        </is>
      </c>
      <c r="F17" s="22" t="inlineStr">
        <is>
          <t>680k 1% (R_UV1)</t>
        </is>
      </c>
      <c r="G17" s="21" t="inlineStr">
        <is>
          <t>R_0805_2012Metric</t>
        </is>
      </c>
      <c r="H17" s="23" t="n">
        <v>0.207</v>
      </c>
      <c r="I17" s="23">
        <f>C17*H17*1</f>
        <v/>
      </c>
      <c r="J17" s="21" t="n"/>
      <c r="K17" s="24" t="inlineStr">
        <is>
          <t>RC0805FR-07680KL</t>
        </is>
      </c>
      <c r="L17" s="22" t="n"/>
      <c r="M17" s="21" t="n"/>
      <c r="N17" s="21" t="n"/>
    </row>
    <row r="18" ht="15" customHeight="1" s="14">
      <c r="A18" s="21" t="n">
        <v>16</v>
      </c>
      <c r="B18" s="21" t="inlineStr">
        <is>
          <t>R57 R13 R40</t>
        </is>
      </c>
      <c r="C18" s="21" t="n">
        <v>3</v>
      </c>
      <c r="D18" s="21" t="inlineStr">
        <is>
          <t>Yageo</t>
        </is>
      </c>
      <c r="E18" s="21" t="inlineStr">
        <is>
          <t>RC0805FR-07100KL</t>
        </is>
      </c>
      <c r="F18" s="22" t="inlineStr">
        <is>
          <t>100k 1% (R_UV2)</t>
        </is>
      </c>
      <c r="G18" s="21" t="inlineStr">
        <is>
          <t>R_0805_2012Metric</t>
        </is>
      </c>
      <c r="H18" s="23" t="n">
        <v>0.07199999999999999</v>
      </c>
      <c r="I18" s="23">
        <f>C18*H18*1</f>
        <v/>
      </c>
      <c r="J18" s="21" t="n"/>
      <c r="K18" s="24" t="inlineStr">
        <is>
          <t>RC0805FR-07100KL</t>
        </is>
      </c>
      <c r="L18" s="22" t="n"/>
      <c r="M18" s="21" t="n"/>
      <c r="N18" s="21" t="n"/>
    </row>
    <row r="19" ht="15" customHeight="1" s="14">
      <c r="A19" s="21" t="n">
        <v>17</v>
      </c>
      <c r="B19" s="21" t="inlineStr">
        <is>
          <t>U3 U6</t>
        </is>
      </c>
      <c r="C19" s="21" t="n">
        <v>2</v>
      </c>
      <c r="D19" s="21" t="inlineStr">
        <is>
          <t>TRACO Power</t>
        </is>
      </c>
      <c r="E19" s="21" t="inlineStr">
        <is>
          <t>TSR 1-2433</t>
        </is>
      </c>
      <c r="F19" s="22" t="inlineStr">
        <is>
          <t>TSR 1-2433 (U3)</t>
        </is>
      </c>
      <c r="G19" s="21" t="inlineStr">
        <is>
          <t>Converter_DCDC_TRACO_TSR-1_THT</t>
        </is>
      </c>
      <c r="H19" s="23" t="n">
        <v>8.801</v>
      </c>
      <c r="I19" s="23">
        <f>C19*H19*1</f>
        <v/>
      </c>
      <c r="J19" s="21" t="inlineStr">
        <is>
          <t>7-10 Workdays</t>
        </is>
      </c>
      <c r="K19" s="24" t="inlineStr">
        <is>
          <t>TSR 1-2433</t>
        </is>
      </c>
      <c r="L19" s="22" t="n"/>
      <c r="M19" s="26" t="inlineStr">
        <is>
          <t>Genuine TRACO Power TSR 1-2433 only - no clone or second-source switching regulator. Both U3 and U6 are this part.</t>
        </is>
      </c>
      <c r="N19" s="21" t="n"/>
    </row>
    <row r="20" ht="15" customHeight="1" s="14">
      <c r="A20" s="21" t="n">
        <v>18</v>
      </c>
      <c r="B20" s="21" t="inlineStr">
        <is>
          <t>C4 C6 C13 C34</t>
        </is>
      </c>
      <c r="C20" s="21" t="n">
        <v>4</v>
      </c>
      <c r="D20" s="21" t="inlineStr">
        <is>
          <t>Murata</t>
        </is>
      </c>
      <c r="E20" s="21" t="inlineStr">
        <is>
          <t>GRM21BR61E106KA73L</t>
        </is>
      </c>
      <c r="F20" s="22" t="inlineStr">
        <is>
          <t>10u (C_U3O)</t>
        </is>
      </c>
      <c r="G20" s="21" t="inlineStr">
        <is>
          <t>C_0805_2012Metric</t>
        </is>
      </c>
      <c r="H20" s="23" t="n">
        <v>0.788</v>
      </c>
      <c r="I20" s="23">
        <f>C20*H20*1</f>
        <v/>
      </c>
      <c r="J20" s="21" t="n"/>
      <c r="K20" s="24" t="inlineStr">
        <is>
          <t>GRM21BR61E106KA73L</t>
        </is>
      </c>
      <c r="L20" s="22" t="n"/>
      <c r="M20" s="21" t="n"/>
      <c r="N20" s="21" t="n"/>
    </row>
    <row r="21" ht="15" customHeight="1" s="14">
      <c r="A21" s="21" t="n">
        <v>19</v>
      </c>
      <c r="B21" s="21" t="inlineStr">
        <is>
          <t>J1 J3 J5 J6</t>
        </is>
      </c>
      <c r="C21" s="21" t="n">
        <v>4</v>
      </c>
      <c r="D21" s="21" t="inlineStr">
        <is>
          <t>Phoenix Contact</t>
        </is>
      </c>
      <c r="E21" s="21" t="inlineStr">
        <is>
          <t>1729018</t>
        </is>
      </c>
      <c r="F21" s="22" t="inlineStr">
        <is>
          <t>POWER IN (J1)</t>
        </is>
      </c>
      <c r="G21" s="21" t="inlineStr">
        <is>
          <t>TerminalBlock_Phoenix_MKDS-1,5-2-5.08_1x02_P5.08mm_Horizontal</t>
        </is>
      </c>
      <c r="H21" s="23" t="n">
        <v>0.754</v>
      </c>
      <c r="I21" s="23">
        <f>C21*H21*1</f>
        <v/>
      </c>
      <c r="J21" s="21" t="n"/>
      <c r="K21" s="24" t="inlineStr">
        <is>
          <t>1729018</t>
        </is>
      </c>
      <c r="L21" s="22" t="n"/>
      <c r="M21" s="21" t="n"/>
      <c r="N21" s="21" t="n"/>
    </row>
    <row r="22" ht="15" customHeight="1" s="14">
      <c r="A22" s="21" t="n">
        <v>20</v>
      </c>
      <c r="B22" s="21" t="inlineStr">
        <is>
          <t>F1</t>
        </is>
      </c>
      <c r="C22" s="21" t="n">
        <v>1</v>
      </c>
      <c r="D22" s="21" t="inlineStr">
        <is>
          <t>Littelfuse</t>
        </is>
      </c>
      <c r="E22" s="21" t="inlineStr">
        <is>
          <t>0451005.MRL</t>
        </is>
      </c>
      <c r="F22" s="22" t="inlineStr">
        <is>
          <t>5A fuse (F1)</t>
        </is>
      </c>
      <c r="G22" s="21" t="inlineStr">
        <is>
          <t>Fuse_Littelfuse-NANO2-451_453</t>
        </is>
      </c>
      <c r="H22" s="23" t="n">
        <v>0.828</v>
      </c>
      <c r="I22" s="23">
        <f>C22*H22*1</f>
        <v/>
      </c>
      <c r="J22" s="21" t="n"/>
      <c r="K22" s="24" t="inlineStr">
        <is>
          <t>0451005.MRL</t>
        </is>
      </c>
      <c r="L22" s="22" t="n"/>
      <c r="M22" s="21" t="n"/>
      <c r="N22" s="21" t="n"/>
    </row>
    <row r="23" ht="15" customHeight="1" s="14">
      <c r="A23" s="21" t="n">
        <v>21</v>
      </c>
      <c r="B23" s="21" t="inlineStr">
        <is>
          <t>F2</t>
        </is>
      </c>
      <c r="C23" s="21" t="n">
        <v>1</v>
      </c>
      <c r="D23" s="21" t="inlineStr">
        <is>
          <t>Littelfuse</t>
        </is>
      </c>
      <c r="E23" s="21" t="inlineStr">
        <is>
          <t>0451003.MRL</t>
        </is>
      </c>
      <c r="F23" s="22" t="inlineStr">
        <is>
          <t>3A fuse (F2)</t>
        </is>
      </c>
      <c r="G23" s="21" t="inlineStr">
        <is>
          <t>Fuse_Littelfuse-NANO2-451_453</t>
        </is>
      </c>
      <c r="H23" s="23" t="n">
        <v>0.751</v>
      </c>
      <c r="I23" s="23">
        <f>C23*H23*1</f>
        <v/>
      </c>
      <c r="J23" s="21" t="n"/>
      <c r="K23" s="24" t="inlineStr">
        <is>
          <t>0451003.MRL</t>
        </is>
      </c>
      <c r="L23" s="22" t="n"/>
      <c r="M23" s="21" t="n"/>
      <c r="N23" s="21" t="n"/>
    </row>
    <row r="24" ht="15" customHeight="1" s="14">
      <c r="A24" s="21" t="n">
        <v>22</v>
      </c>
      <c r="B24" s="21" t="inlineStr">
        <is>
          <t>D1</t>
        </is>
      </c>
      <c r="C24" s="21" t="n">
        <v>1</v>
      </c>
      <c r="D24" s="21" t="inlineStr">
        <is>
          <t>Littelfuse</t>
        </is>
      </c>
      <c r="E24" s="21" t="inlineStr">
        <is>
          <t>SMBJ20CA</t>
        </is>
      </c>
      <c r="F24" s="22" t="inlineStr">
        <is>
          <t>SMBJ20CA (D1)</t>
        </is>
      </c>
      <c r="G24" s="21" t="inlineStr">
        <is>
          <t>D_SMB</t>
        </is>
      </c>
      <c r="H24" s="23" t="n">
        <v>0.432</v>
      </c>
      <c r="I24" s="23">
        <f>C24*H24*1</f>
        <v/>
      </c>
      <c r="J24" s="21" t="n"/>
      <c r="K24" s="24" t="inlineStr">
        <is>
          <t>SMBJ20CA</t>
        </is>
      </c>
      <c r="L24" s="22" t="n"/>
      <c r="M24" s="21" t="n"/>
      <c r="N24" s="21" t="n"/>
    </row>
    <row r="25" ht="15" customHeight="1" s="14">
      <c r="A25" s="21" t="n">
        <v>23</v>
      </c>
      <c r="B25" s="21" t="inlineStr">
        <is>
          <t>C1</t>
        </is>
      </c>
      <c r="C25" s="21" t="n">
        <v>1</v>
      </c>
      <c r="D25" s="21" t="inlineStr">
        <is>
          <t>Panasonic</t>
        </is>
      </c>
      <c r="E25" s="21" t="inlineStr">
        <is>
          <t>EEU-FR1H101</t>
        </is>
      </c>
      <c r="F25" s="22" t="inlineStr">
        <is>
          <t>100uF 50V (C1)</t>
        </is>
      </c>
      <c r="G25" s="21" t="inlineStr">
        <is>
          <t>CP_Radial_D8.0mm_P3.50mm</t>
        </is>
      </c>
      <c r="H25" s="23" t="n">
        <v>5.393</v>
      </c>
      <c r="I25" s="23">
        <f>C25*H25*1</f>
        <v/>
      </c>
      <c r="J25" s="21" t="inlineStr">
        <is>
          <t>7-10 Workdays</t>
        </is>
      </c>
      <c r="K25" s="24" t="inlineStr">
        <is>
          <t>EEU-FR1H101</t>
        </is>
      </c>
      <c r="L25" s="22" t="n"/>
      <c r="M25" s="21" t="n"/>
      <c r="N25" s="21" t="n"/>
    </row>
    <row r="26" ht="15" customHeight="1" s="14">
      <c r="A26" s="21" t="n">
        <v>24</v>
      </c>
      <c r="B26" s="21" t="inlineStr">
        <is>
          <t>C2</t>
        </is>
      </c>
      <c r="C26" s="21" t="n">
        <v>1</v>
      </c>
      <c r="D26" s="21" t="inlineStr">
        <is>
          <t>Panasonic</t>
        </is>
      </c>
      <c r="E26" s="21" t="inlineStr">
        <is>
          <t>EEU-FR1A471B</t>
        </is>
      </c>
      <c r="F26" s="22" t="inlineStr">
        <is>
          <t>470uF 10V (C2)</t>
        </is>
      </c>
      <c r="G26" s="21" t="inlineStr">
        <is>
          <t>CP_Radial_D8.0mm_P3.50mm</t>
        </is>
      </c>
      <c r="H26" s="23" t="n">
        <v>5.702</v>
      </c>
      <c r="I26" s="23">
        <f>C26*H26*1</f>
        <v/>
      </c>
      <c r="J26" s="21" t="inlineStr">
        <is>
          <t>7-10 Workdays</t>
        </is>
      </c>
      <c r="K26" s="24" t="inlineStr">
        <is>
          <t>EEU-FR1A471B</t>
        </is>
      </c>
      <c r="L26" s="22" t="n"/>
      <c r="M26" s="21" t="n"/>
      <c r="N26" s="21" t="n"/>
    </row>
    <row r="27" ht="15" customHeight="1" s="14">
      <c r="A27" s="21" t="n">
        <v>25</v>
      </c>
      <c r="B27" s="21" t="inlineStr">
        <is>
          <t>D2</t>
        </is>
      </c>
      <c r="C27" s="21" t="n">
        <v>1</v>
      </c>
      <c r="D27" s="21" t="inlineStr">
        <is>
          <t>onsemi</t>
        </is>
      </c>
      <c r="E27" s="21" t="inlineStr">
        <is>
          <t>SS14</t>
        </is>
      </c>
      <c r="F27" s="22" t="inlineStr">
        <is>
          <t>SS14 (D2)</t>
        </is>
      </c>
      <c r="G27" s="21" t="inlineStr">
        <is>
          <t>D_SMA</t>
        </is>
      </c>
      <c r="H27" s="23" t="n">
        <v>0.438</v>
      </c>
      <c r="I27" s="23">
        <f>C27*H27*1</f>
        <v/>
      </c>
      <c r="J27" s="21" t="n"/>
      <c r="K27" s="24" t="inlineStr">
        <is>
          <t>SS14</t>
        </is>
      </c>
      <c r="L27" s="22" t="n"/>
      <c r="M27" s="21" t="n"/>
      <c r="N27" s="21" t="n"/>
    </row>
    <row r="28" ht="165.75" customHeight="1" s="14">
      <c r="A28" s="21" t="n">
        <v>26</v>
      </c>
      <c r="B28" s="21" t="inlineStr">
        <is>
          <t>JP1 JP2</t>
        </is>
      </c>
      <c r="C28" s="21" t="n">
        <v>2</v>
      </c>
      <c r="D28" s="21" t="inlineStr">
        <is>
          <t>Samtec</t>
        </is>
      </c>
      <c r="E28" s="21" t="inlineStr">
        <is>
          <t>TSW-102-07-G-S</t>
        </is>
      </c>
      <c r="F28" s="22" t="inlineStr">
        <is>
          <t>JP1 MCU POWER / JP2 CAN TERM 2-pin headers - FIT THE HEADERS ONLY. Do NOT fit the 2.54mm shunts: the customer fits the JP1 shunt after rail tests and the JP2 shunt only when this board is an end of the CAN bus.</t>
        </is>
      </c>
      <c r="G28" s="21" t="inlineStr">
        <is>
          <t>PinHeader_1x02_P2.54mm_Vertical</t>
        </is>
      </c>
      <c r="H28" s="23" t="n">
        <v>0.493</v>
      </c>
      <c r="I28" s="23">
        <f>C28*H28*1</f>
        <v/>
      </c>
      <c r="J28" s="21" t="inlineStr">
        <is>
          <t>7-10 Workdays</t>
        </is>
      </c>
      <c r="K28" s="24" t="inlineStr">
        <is>
          <t>TSW-102-07-G-S</t>
        </is>
      </c>
      <c r="L28" s="25" t="inlineStr">
        <is>
          <t>FIT THE 2-PIN HEADERS ONLY (TSW-102-07-G-S, JP1 + JP2) - do NOT fit the 2.54 mm shunts. The customer fits the JP1 shunt after rail tests and the JP2 shunt only when this board is an end of the CAN bus.</t>
        </is>
      </c>
      <c r="M28" s="26" t="inlineStr">
        <is>
          <t>Confirmed: fit the two 2-pin headers only (TSW-102-07-G-S). Do NOT fit the 2.54 mm shunts - we fit the JP1 shunt after the rail tests and the JP2 shunt only when this board is an end of the CAN bus.</t>
        </is>
      </c>
      <c r="N28" s="21" t="n"/>
    </row>
    <row r="29" ht="63.75" customHeight="1" s="14">
      <c r="A29" s="21" t="n">
        <v>27</v>
      </c>
      <c r="B29" s="21" t="inlineStr">
        <is>
          <t>U1</t>
        </is>
      </c>
      <c r="C29" s="21" t="n">
        <v>2</v>
      </c>
      <c r="D29" s="21" t="inlineStr">
        <is>
          <t>Samtec</t>
        </is>
      </c>
      <c r="E29" s="21" t="inlineStr">
        <is>
          <t>SSW-124-01-G-S</t>
        </is>
      </c>
      <c r="F29" s="22" t="inlineStr">
        <is>
          <t>FIT 2x 1x24 2.54mm THT FEMALE SOCKET (Samtec SSW-124-01-G-S or equivalent; source and fit ONLY these). The Teensy 4.1 is CUSTOMER SUPPLIED - we buy it WITH PINS and plug it in; do NOT source or fit a Teensy.</t>
        </is>
      </c>
      <c r="G29" s="21" t="inlineStr">
        <is>
          <t>Teensy41_Socket</t>
        </is>
      </c>
      <c r="H29" s="23" t="n">
        <v>4.226</v>
      </c>
      <c r="I29" s="23">
        <f>C29*H29*1</f>
        <v/>
      </c>
      <c r="J29" s="21" t="n"/>
      <c r="K29" s="24" t="inlineStr">
        <is>
          <t>SSW-124-01-G-S</t>
        </is>
      </c>
      <c r="L29" s="25" t="inlineStr">
        <is>
          <t>The quantity for this reference designator has been updated to 2. Please confirm.</t>
        </is>
      </c>
      <c r="M29" s="26" t="inlineStr">
        <is>
          <t>Confirmed: quantity 2 is correct. U1 is ONE 2x24 socket footprint and takes two 1x24 SSW-124-01-G-S strips (one per row). Do not source or fit a Teensy 4.1 - it is customer supplied (bought with pins) and plugs in.</t>
        </is>
      </c>
      <c r="N29" s="21" t="n"/>
    </row>
    <row r="30" ht="63.75" customHeight="1" s="14">
      <c r="A30" s="21" t="n">
        <v>28</v>
      </c>
      <c r="B30" s="21" t="inlineStr">
        <is>
          <t>BT1</t>
        </is>
      </c>
      <c r="C30" s="21" t="n">
        <v>1</v>
      </c>
      <c r="D30" s="21" t="inlineStr">
        <is>
          <t>Keystone</t>
        </is>
      </c>
      <c r="E30" s="21" t="inlineStr">
        <is>
          <t>1058</t>
        </is>
      </c>
      <c r="F30" s="22" t="inlineStr">
        <is>
          <t>CR2032 HOLDER only - fit the Keystone 1058 holder. The CR2032 CELL is customer supplied (fit after reflow/cleaning, primary cell, never charge).</t>
        </is>
      </c>
      <c r="G30" s="21" t="inlineStr">
        <is>
          <t>BatteryHolder_Keystone_1058_1x2032</t>
        </is>
      </c>
      <c r="H30" s="23" t="n">
        <v>4.19</v>
      </c>
      <c r="I30" s="23">
        <f>C30*H30*1</f>
        <v/>
      </c>
      <c r="J30" s="21" t="inlineStr">
        <is>
          <t>7-10 Workdays</t>
        </is>
      </c>
      <c r="K30" s="24" t="inlineStr">
        <is>
          <t>1058</t>
        </is>
      </c>
      <c r="L30" s="25" t="inlineStr">
        <is>
          <t>The quoted part number is [1058], not [CR2032] as specified in description</t>
        </is>
      </c>
      <c r="M30" s="26" t="inlineStr">
        <is>
          <t>Correct: 1058 is the Keystone 20 mm coin-cell HOLDER. Fit the holder only - the CR2032 CELL is customer supplied (primary cell, fitted after cleaning, never charged).</t>
        </is>
      </c>
      <c r="N30" s="21" t="n"/>
    </row>
    <row r="31" ht="38.25" customHeight="1" s="14">
      <c r="A31" s="21" t="n">
        <v>29</v>
      </c>
      <c r="B31" s="21" t="inlineStr">
        <is>
          <t>J9</t>
        </is>
      </c>
      <c r="C31" s="21" t="n">
        <v>1</v>
      </c>
      <c r="D31" s="21" t="inlineStr">
        <is>
          <t>JST</t>
        </is>
      </c>
      <c r="E31" s="21" t="inlineStr">
        <is>
          <t>B2B-XH-A(LF)(SN)</t>
        </is>
      </c>
      <c r="F31" s="22" t="inlineStr">
        <is>
          <t>J9 RTC CELL LEAD connector - fit the JST connector only. The two-wire lead to the Teensy VBAT/GND pads is hand-made by the customer.</t>
        </is>
      </c>
      <c r="G31" s="21" t="inlineStr">
        <is>
          <t>JST_XH_B2B-XH-A_1x02_P2.50mm_Vertical</t>
        </is>
      </c>
      <c r="H31" s="23" t="n">
        <v>0.178</v>
      </c>
      <c r="I31" s="23">
        <f>C31*H31*1</f>
        <v/>
      </c>
      <c r="J31" s="21" t="n"/>
      <c r="K31" s="24" t="inlineStr">
        <is>
          <t>B2B-XH-A(LF)(SN)</t>
        </is>
      </c>
      <c r="L31" s="22" t="n"/>
      <c r="M31" s="21" t="n"/>
      <c r="N31" s="21" t="n"/>
    </row>
    <row r="32" ht="114.75" customHeight="1" s="14">
      <c r="A32" s="21" t="n">
        <v>30</v>
      </c>
      <c r="B32" s="21" t="inlineStr">
        <is>
          <t>U21</t>
        </is>
      </c>
      <c r="C32" s="21" t="n">
        <v>1</v>
      </c>
      <c r="D32" s="21" t="inlineStr">
        <is>
          <t>Texas Instruments</t>
        </is>
      </c>
      <c r="E32" s="21" t="inlineStr">
        <is>
          <t>TCAN1042HGVDRQ1</t>
        </is>
      </c>
      <c r="F32" s="22" t="inlineStr">
        <is>
          <t>U21 CAN TRANSCEIVER - TI TCAN1042HGVDRQ1 from AUTHORIZED DISTRIBUTION ONLY (TI / Mouser / Digi-Key / LCSC-original). Do NOT substitute without written approval; no clones, no re-marked parts. The V suffix is MANDATORY - it is the VIO pin (pin 5); a non-V TCAN1042 has pin 5 = NC and would put 5V on the 3.3V Teensy. Approved alternates only: TCAN1042VDRQ1, then NXP TJA1051T/3/1J (its pin 8 S must also go to GND).</t>
        </is>
      </c>
      <c r="G32" s="21" t="inlineStr">
        <is>
          <t>SOIC-8_3.9x4.9mm_P1.27mm</t>
        </is>
      </c>
      <c r="H32" s="23" t="n">
        <v>4.83</v>
      </c>
      <c r="I32" s="23">
        <f>C32*H32*1</f>
        <v/>
      </c>
      <c r="J32" s="21" t="n"/>
      <c r="K32" s="24" t="inlineStr">
        <is>
          <t>TCAN1042HGVDRQ1</t>
        </is>
      </c>
      <c r="L32" s="25" t="inlineStr">
        <is>
          <t>The quoted part number is [TCAN1042HGVDRQ1], not [TCAN1042VDRQ1/TJA1051T/3/1J/TJA1051T] as specified in description</t>
        </is>
      </c>
      <c r="M32" s="26" t="inlineStr">
        <is>
          <t>Correct: order TCAN1042HGVDRQ1. The other part numbers in the description are fallbacks ONLY and need our written approval before use. The "V" suffix is mandatory (it is the VIO pin 5); a non-V TCAN1042 has pin 5 = NC and would put 5 V on the 3.3 V Teensy. No clones, no re-marked parts; authorized distribution only. We inspect the top marking on receipt.</t>
        </is>
      </c>
      <c r="N32" s="21" t="n"/>
    </row>
    <row r="33" ht="15" customHeight="1" s="14">
      <c r="A33" s="21" t="n">
        <v>31</v>
      </c>
      <c r="B33" s="21" t="inlineStr">
        <is>
          <t>C51 C36</t>
        </is>
      </c>
      <c r="C33" s="21" t="n">
        <v>2</v>
      </c>
      <c r="D33" s="21" t="inlineStr">
        <is>
          <t>Murata</t>
        </is>
      </c>
      <c r="E33" s="21" t="inlineStr">
        <is>
          <t>GRM21BR71H105KA12L</t>
        </is>
      </c>
      <c r="F33" s="22" t="inlineStr">
        <is>
          <t>1u (C_U21B)</t>
        </is>
      </c>
      <c r="G33" s="21" t="inlineStr">
        <is>
          <t>C_0805_2012Metric</t>
        </is>
      </c>
      <c r="H33" s="23" t="n">
        <v>0.598</v>
      </c>
      <c r="I33" s="23">
        <f>C33*H33*1</f>
        <v/>
      </c>
      <c r="J33" s="21" t="n"/>
      <c r="K33" s="24" t="inlineStr">
        <is>
          <t>GRM21BR71H105KA12L</t>
        </is>
      </c>
      <c r="L33" s="22" t="n"/>
      <c r="M33" s="21" t="n"/>
      <c r="N33" s="21" t="n"/>
    </row>
    <row r="34" ht="38.25" customHeight="1" s="14">
      <c r="A34" s="21" t="n">
        <v>32</v>
      </c>
      <c r="B34" s="21" t="inlineStr">
        <is>
          <t>J14 J4 J11 J12</t>
        </is>
      </c>
      <c r="C34" s="21" t="n">
        <v>4</v>
      </c>
      <c r="D34" s="21" t="inlineStr">
        <is>
          <t>Phoenix Contact</t>
        </is>
      </c>
      <c r="E34" s="21" t="inlineStr">
        <is>
          <t>1729021</t>
        </is>
      </c>
      <c r="F34" s="22" t="inlineStr">
        <is>
          <t>3-pos 5.08mm Phoenix field terminal - J14 CAN (1 CANH / 2 CANL / 3 GND), J4 OIL, J11 THROTTLE, J12 BRAKE (the analog three are 1 +5V / 2 return / 3 signal).</t>
        </is>
      </c>
      <c r="G34" s="21" t="inlineStr">
        <is>
          <t>TerminalBlock_Phoenix_MKDS-1,5-3-5.08_1x03_P5.08mm_Horizontal</t>
        </is>
      </c>
      <c r="H34" s="23" t="n">
        <v>1.227</v>
      </c>
      <c r="I34" s="23">
        <f>C34*H34*1</f>
        <v/>
      </c>
      <c r="J34" s="21" t="n"/>
      <c r="K34" s="24" t="inlineStr">
        <is>
          <t>1729021</t>
        </is>
      </c>
      <c r="L34" s="22" t="n"/>
      <c r="M34" s="21" t="n"/>
      <c r="N34" s="21" t="n"/>
    </row>
    <row r="35" ht="15" customHeight="1" s="14">
      <c r="A35" s="21" t="n">
        <v>33</v>
      </c>
      <c r="B35" s="21" t="inlineStr">
        <is>
          <t>D25</t>
        </is>
      </c>
      <c r="C35" s="21" t="n">
        <v>1</v>
      </c>
      <c r="D35" s="21" t="inlineStr">
        <is>
          <t>onsemi</t>
        </is>
      </c>
      <c r="E35" s="21" t="inlineStr">
        <is>
          <t>NUP2105LT1G</t>
        </is>
      </c>
      <c r="F35" s="22" t="inlineStr">
        <is>
          <t>NUP2105L (D_U21TVS)</t>
        </is>
      </c>
      <c r="G35" s="21" t="inlineStr">
        <is>
          <t>SOT-23</t>
        </is>
      </c>
      <c r="H35" s="23" t="n">
        <v>0.272</v>
      </c>
      <c r="I35" s="23">
        <f>C35*H35*1</f>
        <v/>
      </c>
      <c r="J35" s="21" t="n"/>
      <c r="K35" s="24" t="inlineStr">
        <is>
          <t>NUP2105LT1G</t>
        </is>
      </c>
      <c r="L35" s="22" t="n"/>
      <c r="M35" s="21" t="n"/>
      <c r="N35" s="21" t="n"/>
    </row>
    <row r="36" ht="15" customHeight="1" s="14">
      <c r="A36" s="21" t="n">
        <v>34</v>
      </c>
      <c r="B36" s="21" t="inlineStr">
        <is>
          <t>R58 R59</t>
        </is>
      </c>
      <c r="C36" s="21" t="n">
        <v>2</v>
      </c>
      <c r="D36" s="21" t="inlineStr">
        <is>
          <t>Yageo</t>
        </is>
      </c>
      <c r="E36" s="21" t="inlineStr">
        <is>
          <t>RC0805FR-0760R4L</t>
        </is>
      </c>
      <c r="F36" s="22" t="inlineStr">
        <is>
          <t>60.4R 1% (R_T1)</t>
        </is>
      </c>
      <c r="G36" s="21" t="inlineStr">
        <is>
          <t>R_0805_2012Metric</t>
        </is>
      </c>
      <c r="H36" s="23" t="n">
        <v>0.067</v>
      </c>
      <c r="I36" s="23">
        <f>C36*H36*1</f>
        <v/>
      </c>
      <c r="J36" s="21" t="n"/>
      <c r="K36" s="24" t="inlineStr">
        <is>
          <t>RC0805FR-0760R4L</t>
        </is>
      </c>
      <c r="L36" s="22" t="n"/>
      <c r="M36" s="21" t="n"/>
      <c r="N36" s="21" t="n"/>
    </row>
    <row r="37" ht="15" customHeight="1" s="14">
      <c r="A37" s="21" t="n">
        <v>35</v>
      </c>
      <c r="B37" s="21" t="inlineStr">
        <is>
          <t>J13</t>
        </is>
      </c>
      <c r="C37" s="21" t="n">
        <v>1</v>
      </c>
      <c r="D37" s="21" t="inlineStr">
        <is>
          <t>JST</t>
        </is>
      </c>
      <c r="E37" s="21" t="inlineStr">
        <is>
          <t>B4B-XH-A(LF)(SN)</t>
        </is>
      </c>
      <c r="F37" s="22" t="inlineStr">
        <is>
          <t>PI 5 VIDEO 3V3 UART (J_VID)</t>
        </is>
      </c>
      <c r="G37" s="21" t="inlineStr">
        <is>
          <t>JST_XH_B4B-XH-A_1x04_P2.50mm_Vertical</t>
        </is>
      </c>
      <c r="H37" s="23" t="n">
        <v>0.237</v>
      </c>
      <c r="I37" s="23">
        <f>C37*H37*1</f>
        <v/>
      </c>
      <c r="J37" s="21" t="n"/>
      <c r="K37" s="24" t="inlineStr">
        <is>
          <t>B4B-XH-A(LF)(SN)</t>
        </is>
      </c>
      <c r="L37" s="22" t="n"/>
      <c r="M37" s="21" t="n"/>
      <c r="N37" s="21" t="n"/>
    </row>
    <row r="38" ht="15" customHeight="1" s="14">
      <c r="A38" s="21" t="n">
        <v>36</v>
      </c>
      <c r="B38" s="21" t="inlineStr">
        <is>
          <t>R1 R2 R18 R21 R24 R27 R30 R50</t>
        </is>
      </c>
      <c r="C38" s="21" t="n">
        <v>8</v>
      </c>
      <c r="D38" s="21" t="inlineStr">
        <is>
          <t>Yageo</t>
        </is>
      </c>
      <c r="E38" s="21" t="inlineStr">
        <is>
          <t>RC0805FR-071KL</t>
        </is>
      </c>
      <c r="F38" s="22" t="inlineStr">
        <is>
          <t>1k 1% (R_VIDTX)</t>
        </is>
      </c>
      <c r="G38" s="21" t="inlineStr">
        <is>
          <t>R_0805_2012Metric</t>
        </is>
      </c>
      <c r="H38" s="23" t="n">
        <v>0.016</v>
      </c>
      <c r="I38" s="23">
        <f>C38*H38*1</f>
        <v/>
      </c>
      <c r="J38" s="21" t="n"/>
      <c r="K38" s="24" t="inlineStr">
        <is>
          <t>RC0805FR-071KL</t>
        </is>
      </c>
      <c r="L38" s="22" t="n"/>
      <c r="M38" s="21" t="n"/>
      <c r="N38" s="21" t="n"/>
    </row>
    <row r="39" ht="15" customHeight="1" s="14">
      <c r="A39" s="21" t="n">
        <v>37</v>
      </c>
      <c r="B39" s="21" t="inlineStr">
        <is>
          <t>D3 D4 D19 D20</t>
        </is>
      </c>
      <c r="C39" s="21" t="n">
        <v>4</v>
      </c>
      <c r="D39" s="21" t="inlineStr">
        <is>
          <t>Nexperia</t>
        </is>
      </c>
      <c r="E39" s="21" t="inlineStr">
        <is>
          <t>PESD5V0S1BA,115</t>
        </is>
      </c>
      <c r="F39" s="22" t="inlineStr">
        <is>
          <t>UART ESD (D_VIDTX)</t>
        </is>
      </c>
      <c r="G39" s="21" t="inlineStr">
        <is>
          <t>D_SOD-323</t>
        </is>
      </c>
      <c r="H39" s="23" t="n">
        <v>0.143</v>
      </c>
      <c r="I39" s="23">
        <f>C39*H39*1</f>
        <v/>
      </c>
      <c r="J39" s="21" t="n"/>
      <c r="K39" s="24" t="inlineStr">
        <is>
          <t>PESD5V0S1BA,115</t>
        </is>
      </c>
      <c r="L39" s="22" t="n"/>
      <c r="M39" s="21" t="n"/>
      <c r="N39" s="21" t="n"/>
    </row>
    <row r="40" ht="15" customHeight="1" s="14">
      <c r="A40" s="21" t="n">
        <v>38</v>
      </c>
      <c r="B40" s="21" t="inlineStr">
        <is>
          <t>U7</t>
        </is>
      </c>
      <c r="C40" s="21" t="n">
        <v>1</v>
      </c>
      <c r="D40" s="21" t="inlineStr">
        <is>
          <t>TDK InvenSense</t>
        </is>
      </c>
      <c r="E40" s="21" t="inlineStr">
        <is>
          <t>ICM-42670-P</t>
        </is>
      </c>
      <c r="F40" s="22" t="inlineStr">
        <is>
          <t>ICM-42670-P (U_IMU)</t>
        </is>
      </c>
      <c r="G40" s="21" t="inlineStr">
        <is>
          <t>InvenSense_LGA-14_2.5x3.0mm_P0.50mm</t>
        </is>
      </c>
      <c r="H40" s="23" t="n">
        <v>6.038</v>
      </c>
      <c r="I40" s="23">
        <f>C40*H40*1</f>
        <v/>
      </c>
      <c r="J40" s="21" t="n"/>
      <c r="K40" s="24" t="inlineStr">
        <is>
          <t>ICM-42670-P</t>
        </is>
      </c>
      <c r="L40" s="22" t="n"/>
      <c r="M40" s="21" t="n"/>
      <c r="N40" s="21" t="n"/>
    </row>
    <row r="41" ht="15" customHeight="1" s="14">
      <c r="A41" s="21" t="n">
        <v>39</v>
      </c>
      <c r="B41" s="21" t="inlineStr">
        <is>
          <t>C10</t>
        </is>
      </c>
      <c r="C41" s="21" t="n">
        <v>1</v>
      </c>
      <c r="D41" s="21" t="inlineStr">
        <is>
          <t>Samsung</t>
        </is>
      </c>
      <c r="E41" s="21" t="inlineStr">
        <is>
          <t>CL21B103KBANNNC</t>
        </is>
      </c>
      <c r="F41" s="22" t="inlineStr">
        <is>
          <t>10n (C_IMUL)</t>
        </is>
      </c>
      <c r="G41" s="21" t="inlineStr">
        <is>
          <t>C_0805_2012Metric</t>
        </is>
      </c>
      <c r="H41" s="23" t="n">
        <v>0.309</v>
      </c>
      <c r="I41" s="23">
        <f>C41*H41*1</f>
        <v/>
      </c>
      <c r="J41" s="21" t="n"/>
      <c r="K41" s="24" t="inlineStr">
        <is>
          <t>CL21B103KBANNNC</t>
        </is>
      </c>
      <c r="L41" s="22" t="n"/>
      <c r="M41" s="21" t="n"/>
      <c r="N41" s="21" t="n"/>
    </row>
    <row r="42" ht="15" customHeight="1" s="14">
      <c r="A42" s="21" t="n">
        <v>40</v>
      </c>
      <c r="B42" s="21" t="inlineStr">
        <is>
          <t>C11</t>
        </is>
      </c>
      <c r="C42" s="21" t="n">
        <v>1</v>
      </c>
      <c r="D42" s="21" t="inlineStr">
        <is>
          <t>Yageo</t>
        </is>
      </c>
      <c r="E42" s="21" t="inlineStr">
        <is>
          <t>CC0805KKX7R9BB225</t>
        </is>
      </c>
      <c r="F42" s="22" t="inlineStr">
        <is>
          <t>2.2u (C_IMUR)</t>
        </is>
      </c>
      <c r="G42" s="21" t="inlineStr">
        <is>
          <t>C_0805_2012Metric</t>
        </is>
      </c>
      <c r="H42" s="23" t="n">
        <v>3.413</v>
      </c>
      <c r="I42" s="23">
        <f>C42*H42*1</f>
        <v/>
      </c>
      <c r="J42" s="21" t="n"/>
      <c r="K42" s="24" t="inlineStr">
        <is>
          <t>CC0805KKX7R9BB225</t>
        </is>
      </c>
      <c r="L42" s="22" t="n"/>
      <c r="M42" s="21" t="n"/>
      <c r="N42" s="21" t="n"/>
    </row>
    <row r="43" ht="76.5" customHeight="1" s="14">
      <c r="A43" s="21" t="n">
        <v>41</v>
      </c>
      <c r="B43" s="21" t="inlineStr">
        <is>
          <t>U8</t>
        </is>
      </c>
      <c r="C43" s="21" t="n">
        <v>1</v>
      </c>
      <c r="D43" s="21" t="inlineStr">
        <is>
          <t>u-blox</t>
        </is>
      </c>
      <c r="E43" s="21" t="inlineStr">
        <is>
          <t>NEO-M9N-00B</t>
        </is>
      </c>
      <c r="F43" s="22" t="inlineStr">
        <is>
          <t>NEO-M9N-00B (U_GPS)</t>
        </is>
      </c>
      <c r="G43" s="21" t="inlineStr">
        <is>
          <t>ublox_NEO</t>
        </is>
      </c>
      <c r="H43" s="23" t="n">
        <v>17.107</v>
      </c>
      <c r="I43" s="23">
        <f>C43*H43*1</f>
        <v/>
      </c>
      <c r="J43" s="21" t="n"/>
      <c r="K43" s="24" t="inlineStr">
        <is>
          <t>NEO-M9N-00B</t>
        </is>
      </c>
      <c r="L43" s="25" t="inlineStr">
        <is>
          <t>[Price is changing higher, final price should be subjected to the real price when order!]</t>
        </is>
      </c>
      <c r="M43" s="26" t="inlineStr">
        <is>
          <t>Accepted - quote the real order-day price. Please tell us the delta BEFORE you place the order if it moves by more than ~10%.</t>
        </is>
      </c>
      <c r="N43" s="21" t="n"/>
    </row>
    <row r="44" ht="15" customHeight="1" s="14">
      <c r="A44" s="21" t="n">
        <v>42</v>
      </c>
      <c r="B44" s="21" t="inlineStr">
        <is>
          <t>J8</t>
        </is>
      </c>
      <c r="C44" s="21" t="n">
        <v>1</v>
      </c>
      <c r="D44" s="21" t="inlineStr">
        <is>
          <t>Amphenol RF</t>
        </is>
      </c>
      <c r="E44" s="21" t="inlineStr">
        <is>
          <t>901-143-6RFX</t>
        </is>
      </c>
      <c r="F44" s="22" t="inlineStr">
        <is>
          <t>GPS SMA FEMALE (J_ANT)</t>
        </is>
      </c>
      <c r="G44" s="21" t="inlineStr">
        <is>
          <t>SMA_Amphenol_901-143_Horizontal</t>
        </is>
      </c>
      <c r="H44" s="23" t="n">
        <v>8.821999999999999</v>
      </c>
      <c r="I44" s="23">
        <f>C44*H44*1</f>
        <v/>
      </c>
      <c r="J44" s="21" t="n"/>
      <c r="K44" s="24" t="inlineStr">
        <is>
          <t>901-143-6RFX</t>
        </is>
      </c>
      <c r="L44" s="22" t="n"/>
      <c r="M44" s="21" t="n"/>
      <c r="N44" s="21" t="n"/>
    </row>
    <row r="45" ht="15" customHeight="1" s="14">
      <c r="A45" s="21" t="n">
        <v>43</v>
      </c>
      <c r="B45" s="21" t="inlineStr">
        <is>
          <t>C14</t>
        </is>
      </c>
      <c r="C45" s="21" t="n">
        <v>1</v>
      </c>
      <c r="D45" s="21" t="inlineStr">
        <is>
          <t>Murata</t>
        </is>
      </c>
      <c r="E45" s="21" t="inlineStr">
        <is>
          <t>GRM1555C1H101JA01D</t>
        </is>
      </c>
      <c r="F45" s="22" t="inlineStr">
        <is>
          <t>100pF C0G (C_RF)</t>
        </is>
      </c>
      <c r="G45" s="21" t="inlineStr">
        <is>
          <t>C_0402_1005Metric</t>
        </is>
      </c>
      <c r="H45" s="23" t="n">
        <v>0.265</v>
      </c>
      <c r="I45" s="23">
        <f>C45*H45*1</f>
        <v/>
      </c>
      <c r="J45" s="21" t="n"/>
      <c r="K45" s="24" t="inlineStr">
        <is>
          <t>GRM1555C1H101JA01D</t>
        </is>
      </c>
      <c r="L45" s="22" t="n"/>
      <c r="M45" s="21" t="n"/>
      <c r="N45" s="21" t="n"/>
    </row>
    <row r="46" ht="15" customHeight="1" s="14">
      <c r="A46" s="21" t="n">
        <v>44</v>
      </c>
      <c r="B46" s="21" t="inlineStr">
        <is>
          <t>L1</t>
        </is>
      </c>
      <c r="C46" s="21" t="n">
        <v>1</v>
      </c>
      <c r="D46" s="21" t="inlineStr">
        <is>
          <t>Murata</t>
        </is>
      </c>
      <c r="E46" s="21" t="inlineStr">
        <is>
          <t>LQG15HS27NJ02D</t>
        </is>
      </c>
      <c r="F46" s="22" t="inlineStr">
        <is>
          <t>27nH RF choke (L_RF)</t>
        </is>
      </c>
      <c r="G46" s="21" t="inlineStr">
        <is>
          <t>L_0402_1005Metric</t>
        </is>
      </c>
      <c r="H46" s="23" t="n">
        <v>0.602</v>
      </c>
      <c r="I46" s="23">
        <f>C46*H46*1</f>
        <v/>
      </c>
      <c r="J46" s="21" t="n"/>
      <c r="K46" s="24" t="inlineStr">
        <is>
          <t>LQG15HS27NJ02D</t>
        </is>
      </c>
      <c r="L46" s="22" t="n"/>
      <c r="M46" s="21" t="n"/>
      <c r="N46" s="21" t="n"/>
    </row>
    <row r="47" ht="15" customHeight="1" s="14">
      <c r="A47" s="21" t="n">
        <v>45</v>
      </c>
      <c r="B47" s="21" t="inlineStr">
        <is>
          <t>D5</t>
        </is>
      </c>
      <c r="C47" s="21" t="n">
        <v>1</v>
      </c>
      <c r="D47" s="21" t="inlineStr">
        <is>
          <t>Nexperia</t>
        </is>
      </c>
      <c r="E47" s="21" t="inlineStr">
        <is>
          <t>PESD5V0F1BL,315</t>
        </is>
      </c>
      <c r="F47" s="22" t="inlineStr">
        <is>
          <t>RF ESD (D_RF)</t>
        </is>
      </c>
      <c r="G47" s="21" t="inlineStr">
        <is>
          <t>D_SOD-882</t>
        </is>
      </c>
      <c r="H47" s="23" t="n">
        <v>0.395</v>
      </c>
      <c r="I47" s="23">
        <f>C47*H47*1</f>
        <v/>
      </c>
      <c r="J47" s="21" t="n"/>
      <c r="K47" s="24" t="inlineStr">
        <is>
          <t>PESD5V0F1BL,315</t>
        </is>
      </c>
      <c r="L47" s="22" t="n"/>
      <c r="M47" s="21" t="n"/>
      <c r="N47" s="21" t="n"/>
    </row>
    <row r="48" ht="15" customHeight="1" s="14">
      <c r="A48" s="21" t="n">
        <v>46</v>
      </c>
      <c r="B48" s="21" t="inlineStr">
        <is>
          <t>U9</t>
        </is>
      </c>
      <c r="C48" s="21" t="n">
        <v>1</v>
      </c>
      <c r="D48" s="21" t="inlineStr">
        <is>
          <t>Texas Instruments</t>
        </is>
      </c>
      <c r="E48" s="21" t="inlineStr">
        <is>
          <t>TPS2553DBVR</t>
        </is>
      </c>
      <c r="F48" s="22" t="inlineStr">
        <is>
          <t>TPS2553 (U_ANT)</t>
        </is>
      </c>
      <c r="G48" s="21" t="inlineStr">
        <is>
          <t>SOT-23-6</t>
        </is>
      </c>
      <c r="H48" s="23" t="n">
        <v>1.208</v>
      </c>
      <c r="I48" s="23">
        <f>C48*H48*1</f>
        <v/>
      </c>
      <c r="J48" s="21" t="n"/>
      <c r="K48" s="24" t="inlineStr">
        <is>
          <t>TPS2553DBVR</t>
        </is>
      </c>
      <c r="L48" s="22" t="n"/>
      <c r="M48" s="21" t="n"/>
      <c r="N48" s="21" t="n"/>
    </row>
    <row r="49" ht="15" customHeight="1" s="14">
      <c r="A49" s="21" t="n">
        <v>47</v>
      </c>
      <c r="B49" s="21" t="inlineStr">
        <is>
          <t>R5</t>
        </is>
      </c>
      <c r="C49" s="21" t="n">
        <v>1</v>
      </c>
      <c r="D49" s="21" t="inlineStr">
        <is>
          <t>Yageo</t>
        </is>
      </c>
      <c r="E49" s="21" t="inlineStr">
        <is>
          <t>RC0805FR-0710RL</t>
        </is>
      </c>
      <c r="F49" s="22" t="inlineStr">
        <is>
          <t>10R 1% (R_ANT_FILTER)</t>
        </is>
      </c>
      <c r="G49" s="21" t="inlineStr">
        <is>
          <t>R_0805_2012Metric</t>
        </is>
      </c>
      <c r="H49" s="23" t="n">
        <v>0.304</v>
      </c>
      <c r="I49" s="23">
        <f>C49*H49*1</f>
        <v/>
      </c>
      <c r="J49" s="21" t="n"/>
      <c r="K49" s="24" t="inlineStr">
        <is>
          <t>RC0805FR-0710RL</t>
        </is>
      </c>
      <c r="L49" s="22" t="n"/>
      <c r="M49" s="21" t="n"/>
      <c r="N49" s="21" t="n"/>
    </row>
    <row r="50" ht="15" customHeight="1" s="14">
      <c r="A50" s="21" t="n">
        <v>48</v>
      </c>
      <c r="B50" s="21" t="inlineStr">
        <is>
          <t>U10 U20</t>
        </is>
      </c>
      <c r="C50" s="21" t="n">
        <v>2</v>
      </c>
      <c r="D50" s="21" t="inlineStr">
        <is>
          <t>Texas Instruments</t>
        </is>
      </c>
      <c r="E50" s="21" t="inlineStr">
        <is>
          <t>SN74LVC1G125DBVR</t>
        </is>
      </c>
      <c r="F50" s="22" t="inlineStr">
        <is>
          <t>SN74LVC1G125 (U_GTX)</t>
        </is>
      </c>
      <c r="G50" s="21" t="inlineStr">
        <is>
          <t>SOT-23-5</t>
        </is>
      </c>
      <c r="H50" s="23" t="n">
        <v>0.08699999999999999</v>
      </c>
      <c r="I50" s="23">
        <f>C50*H50*1</f>
        <v/>
      </c>
      <c r="J50" s="21" t="n"/>
      <c r="K50" s="24" t="inlineStr">
        <is>
          <t>SN74LVC1G125DBVR</t>
        </is>
      </c>
      <c r="L50" s="22" t="n"/>
      <c r="M50" s="21" t="n"/>
      <c r="N50" s="21" t="n"/>
    </row>
    <row r="51" ht="15" customHeight="1" s="14">
      <c r="A51" s="21" t="n">
        <v>49</v>
      </c>
      <c r="B51" s="21" t="inlineStr">
        <is>
          <t>R6</t>
        </is>
      </c>
      <c r="C51" s="21" t="n">
        <v>1</v>
      </c>
      <c r="D51" s="21" t="inlineStr">
        <is>
          <t>Yageo</t>
        </is>
      </c>
      <c r="E51" s="21" t="inlineStr">
        <is>
          <t>RC0805FR-07180KL</t>
        </is>
      </c>
      <c r="F51" s="22" t="inlineStr">
        <is>
          <t>180k 1% (R_TTOP)</t>
        </is>
      </c>
      <c r="G51" s="21" t="inlineStr">
        <is>
          <t>R_0805_2012Metric</t>
        </is>
      </c>
      <c r="H51" s="23" t="n">
        <v>0.238</v>
      </c>
      <c r="I51" s="23">
        <f>C51*H51*1</f>
        <v/>
      </c>
      <c r="J51" s="21" t="n"/>
      <c r="K51" s="24" t="inlineStr">
        <is>
          <t>RC0805FR-07180KL</t>
        </is>
      </c>
      <c r="L51" s="22" t="n"/>
      <c r="M51" s="21" t="n"/>
      <c r="N51" s="21" t="n"/>
    </row>
    <row r="52" ht="15" customHeight="1" s="14">
      <c r="A52" s="21" t="n">
        <v>50</v>
      </c>
      <c r="B52" s="21" t="inlineStr">
        <is>
          <t>R7</t>
        </is>
      </c>
      <c r="C52" s="21" t="n">
        <v>1</v>
      </c>
      <c r="D52" s="21" t="inlineStr">
        <is>
          <t>Yageo</t>
        </is>
      </c>
      <c r="E52" s="21" t="inlineStr">
        <is>
          <t>RC0805FR-0722KL</t>
        </is>
      </c>
      <c r="F52" s="22" t="inlineStr">
        <is>
          <t>22k 1% (R_TBOT)</t>
        </is>
      </c>
      <c r="G52" s="21" t="inlineStr">
        <is>
          <t>R_0805_2012Metric</t>
        </is>
      </c>
      <c r="H52" s="23" t="n">
        <v>0.146</v>
      </c>
      <c r="I52" s="23">
        <f>C52*H52*1</f>
        <v/>
      </c>
      <c r="J52" s="21" t="n"/>
      <c r="K52" s="24" t="inlineStr">
        <is>
          <t>RC0805FR-0722KL</t>
        </is>
      </c>
      <c r="L52" s="22" t="n"/>
      <c r="M52" s="21" t="n"/>
      <c r="N52" s="21" t="n"/>
    </row>
    <row r="53" ht="15" customHeight="1" s="14">
      <c r="A53" s="21" t="n">
        <v>51</v>
      </c>
      <c r="B53" s="21" t="inlineStr">
        <is>
          <t>C18</t>
        </is>
      </c>
      <c r="C53" s="21" t="n">
        <v>1</v>
      </c>
      <c r="D53" s="21" t="inlineStr">
        <is>
          <t>Yageo</t>
        </is>
      </c>
      <c r="E53" s="21" t="inlineStr">
        <is>
          <t>CC0805KRX7R9BB102</t>
        </is>
      </c>
      <c r="F53" s="22" t="inlineStr">
        <is>
          <t>1n (C_TFILTER)</t>
        </is>
      </c>
      <c r="G53" s="21" t="inlineStr">
        <is>
          <t>C_0805_2012Metric</t>
        </is>
      </c>
      <c r="H53" s="23" t="n">
        <v>0.207</v>
      </c>
      <c r="I53" s="23">
        <f>C53*H53*1</f>
        <v/>
      </c>
      <c r="J53" s="21" t="n"/>
      <c r="K53" s="24" t="inlineStr">
        <is>
          <t>CC0805KRX7R9BB102</t>
        </is>
      </c>
      <c r="L53" s="22" t="n"/>
      <c r="M53" s="21" t="n"/>
      <c r="N53" s="21" t="n"/>
    </row>
    <row r="54" ht="15" customHeight="1" s="14">
      <c r="A54" s="21" t="n">
        <v>52</v>
      </c>
      <c r="B54" s="21" t="inlineStr">
        <is>
          <t>D6</t>
        </is>
      </c>
      <c r="C54" s="21" t="n">
        <v>1</v>
      </c>
      <c r="D54" s="21" t="inlineStr">
        <is>
          <t>Texas Instruments</t>
        </is>
      </c>
      <c r="E54" s="21" t="inlineStr">
        <is>
          <t>LM4040AIM3-2.5/NOPB</t>
        </is>
      </c>
      <c r="F54" s="22" t="inlineStr">
        <is>
          <t>LM4040 2.5 (D_TPOS)</t>
        </is>
      </c>
      <c r="G54" s="21" t="inlineStr">
        <is>
          <t>SOT-23</t>
        </is>
      </c>
      <c r="H54" s="23" t="n">
        <v>1.96</v>
      </c>
      <c r="I54" s="23">
        <f>C54*H54*1</f>
        <v/>
      </c>
      <c r="J54" s="21" t="n"/>
      <c r="K54" s="24" t="inlineStr">
        <is>
          <t>LM4040AIM3-2.5/NOPB</t>
        </is>
      </c>
      <c r="L54" s="22" t="n"/>
      <c r="M54" s="21" t="n"/>
      <c r="N54" s="21" t="n"/>
    </row>
    <row r="55" ht="15" customHeight="1" s="14">
      <c r="A55" s="21" t="n">
        <v>53</v>
      </c>
      <c r="B55" s="21" t="inlineStr">
        <is>
          <t>D7 D9 D11 D13 D15 D17 D22 D18</t>
        </is>
      </c>
      <c r="C55" s="21" t="n">
        <v>8</v>
      </c>
      <c r="D55" s="21" t="inlineStr">
        <is>
          <t>Nexperia</t>
        </is>
      </c>
      <c r="E55" s="21" t="inlineStr">
        <is>
          <t>PMEG2010ER,115</t>
        </is>
      </c>
      <c r="F55" s="22" t="inlineStr">
        <is>
          <t>PMEG2010ER (D_TNEG)</t>
        </is>
      </c>
      <c r="G55" s="21" t="inlineStr">
        <is>
          <t>Nexperia_CFP3_SOD-123W</t>
        </is>
      </c>
      <c r="H55" s="23" t="n">
        <v>0.294</v>
      </c>
      <c r="I55" s="23">
        <f>C55*H55*1</f>
        <v/>
      </c>
      <c r="J55" s="21" t="n"/>
      <c r="K55" s="24" t="inlineStr">
        <is>
          <t>PMEG2010ER,115</t>
        </is>
      </c>
      <c r="L55" s="22" t="n"/>
      <c r="M55" s="21" t="n"/>
      <c r="N55" s="21" t="n"/>
    </row>
    <row r="56" ht="15" customHeight="1" s="14">
      <c r="A56" s="21" t="n">
        <v>54</v>
      </c>
      <c r="B56" s="21" t="inlineStr">
        <is>
          <t>U11</t>
        </is>
      </c>
      <c r="C56" s="21" t="n">
        <v>1</v>
      </c>
      <c r="D56" s="21" t="inlineStr">
        <is>
          <t>Texas Instruments</t>
        </is>
      </c>
      <c r="E56" s="21" t="inlineStr">
        <is>
          <t>LM2903BIDR</t>
        </is>
      </c>
      <c r="F56" s="22" t="inlineStr">
        <is>
          <t>LM2903B (U_CMP)</t>
        </is>
      </c>
      <c r="G56" s="21" t="inlineStr">
        <is>
          <t>SOIC-8_3.9x4.9mm_P1.27mm</t>
        </is>
      </c>
      <c r="H56" s="23" t="n">
        <v>0.155</v>
      </c>
      <c r="I56" s="23">
        <f>C56*H56*1</f>
        <v/>
      </c>
      <c r="J56" s="21" t="n"/>
      <c r="K56" s="24" t="inlineStr">
        <is>
          <t>LM2903BIDR</t>
        </is>
      </c>
      <c r="L56" s="22" t="n"/>
      <c r="M56" s="21" t="n"/>
      <c r="N56" s="21" t="n"/>
    </row>
    <row r="57" ht="15" customHeight="1" s="14">
      <c r="A57" s="21" t="n">
        <v>55</v>
      </c>
      <c r="B57" s="21" t="inlineStr">
        <is>
          <t>R10</t>
        </is>
      </c>
      <c r="C57" s="21" t="n">
        <v>1</v>
      </c>
      <c r="D57" s="21" t="inlineStr">
        <is>
          <t>Yageo</t>
        </is>
      </c>
      <c r="E57" s="21" t="inlineStr">
        <is>
          <t>RC0805FR-072M2L</t>
        </is>
      </c>
      <c r="F57" s="22" t="inlineStr">
        <is>
          <t>2.2M 1% (R_THYST)</t>
        </is>
      </c>
      <c r="G57" s="21" t="inlineStr">
        <is>
          <t>R_0805_2012Metric</t>
        </is>
      </c>
      <c r="H57" s="23" t="n">
        <v>0.185</v>
      </c>
      <c r="I57" s="23">
        <f>C57*H57*1</f>
        <v/>
      </c>
      <c r="J57" s="21" t="n"/>
      <c r="K57" s="24" t="inlineStr">
        <is>
          <t>RC0805FR-072M2L</t>
        </is>
      </c>
      <c r="L57" s="22" t="n"/>
      <c r="M57" s="21" t="n"/>
      <c r="N57" s="21" t="n"/>
    </row>
    <row r="58" ht="15" customHeight="1" s="14">
      <c r="A58" s="21" t="n">
        <v>56</v>
      </c>
      <c r="B58" s="21" t="inlineStr">
        <is>
          <t>R11 R15</t>
        </is>
      </c>
      <c r="C58" s="21" t="n">
        <v>2</v>
      </c>
      <c r="D58" s="21" t="inlineStr">
        <is>
          <t>Yageo</t>
        </is>
      </c>
      <c r="E58" s="21" t="inlineStr">
        <is>
          <t>RC0805FR-074K7L</t>
        </is>
      </c>
      <c r="F58" s="22" t="inlineStr">
        <is>
          <t>4.7k 1% (R_TPULL)</t>
        </is>
      </c>
      <c r="G58" s="21" t="inlineStr">
        <is>
          <t>R_0805_2012Metric</t>
        </is>
      </c>
      <c r="H58" s="23" t="n">
        <v>0.109</v>
      </c>
      <c r="I58" s="23">
        <f>C58*H58*1</f>
        <v/>
      </c>
      <c r="J58" s="21" t="n"/>
      <c r="K58" s="24" t="inlineStr">
        <is>
          <t>RC0805FR-074K7L</t>
        </is>
      </c>
      <c r="L58" s="22" t="n"/>
      <c r="M58" s="21" t="n"/>
      <c r="N58" s="21" t="n"/>
    </row>
    <row r="59" ht="15" customHeight="1" s="14">
      <c r="A59" s="21" t="n">
        <v>57</v>
      </c>
      <c r="B59" s="21" t="inlineStr">
        <is>
          <t>Q1 Q2</t>
        </is>
      </c>
      <c r="C59" s="21" t="n">
        <v>2</v>
      </c>
      <c r="D59" s="21" t="inlineStr">
        <is>
          <t>Nexperia</t>
        </is>
      </c>
      <c r="E59" s="21" t="inlineStr">
        <is>
          <t>MMBT3904,215</t>
        </is>
      </c>
      <c r="F59" s="22" t="inlineStr">
        <is>
          <t>MMBT3904 (Q_TLED)</t>
        </is>
      </c>
      <c r="G59" s="21" t="inlineStr">
        <is>
          <t>SOT-23</t>
        </is>
      </c>
      <c r="H59" s="23" t="n">
        <v>0.302</v>
      </c>
      <c r="I59" s="23">
        <f>C59*H59*1</f>
        <v/>
      </c>
      <c r="J59" s="21" t="n"/>
      <c r="K59" s="24" t="inlineStr">
        <is>
          <t>MMBT3904,215</t>
        </is>
      </c>
      <c r="L59" s="22" t="n"/>
      <c r="M59" s="21" t="n"/>
      <c r="N59" s="21" t="n"/>
    </row>
    <row r="60" ht="15" customHeight="1" s="14">
      <c r="A60" s="21" t="n">
        <v>58</v>
      </c>
      <c r="B60" s="21" t="inlineStr">
        <is>
          <t>R14</t>
        </is>
      </c>
      <c r="C60" s="21" t="n">
        <v>1</v>
      </c>
      <c r="D60" s="21" t="inlineStr">
        <is>
          <t>Yageo</t>
        </is>
      </c>
      <c r="E60" s="21" t="inlineStr">
        <is>
          <t>RC0805FR-07680RL</t>
        </is>
      </c>
      <c r="F60" s="22" t="inlineStr">
        <is>
          <t>680 1% (R_TLED)</t>
        </is>
      </c>
      <c r="G60" s="21" t="inlineStr">
        <is>
          <t>R_0805_2012Metric</t>
        </is>
      </c>
      <c r="H60" s="23" t="n">
        <v>0.163</v>
      </c>
      <c r="I60" s="23">
        <f>C60*H60*1</f>
        <v/>
      </c>
      <c r="J60" s="21" t="n"/>
      <c r="K60" s="24" t="inlineStr">
        <is>
          <t>RC0805FR-07680RL</t>
        </is>
      </c>
      <c r="L60" s="22" t="n"/>
      <c r="M60" s="21" t="n"/>
      <c r="N60" s="21" t="n"/>
    </row>
    <row r="61" ht="15" customHeight="1" s="14">
      <c r="A61" s="21" t="n">
        <v>59</v>
      </c>
      <c r="B61" s="21" t="inlineStr">
        <is>
          <t>U12</t>
        </is>
      </c>
      <c r="C61" s="21" t="n">
        <v>1</v>
      </c>
      <c r="D61" s="21" t="inlineStr">
        <is>
          <t>Vishay</t>
        </is>
      </c>
      <c r="E61" s="21" t="inlineStr">
        <is>
          <t>VO617A-3X017T</t>
        </is>
      </c>
      <c r="F61" s="22" t="inlineStr">
        <is>
          <t>VO617A-3 (U_OPTO)</t>
        </is>
      </c>
      <c r="G61" s="21" t="inlineStr">
        <is>
          <t>SMDIP-4_W9.53mm</t>
        </is>
      </c>
      <c r="H61" s="23" t="n">
        <v>0.819</v>
      </c>
      <c r="I61" s="23">
        <f>C61*H61*1</f>
        <v/>
      </c>
      <c r="J61" s="21" t="n"/>
      <c r="K61" s="24" t="inlineStr">
        <is>
          <t>VO617A-3X017T</t>
        </is>
      </c>
      <c r="L61" s="22" t="n"/>
      <c r="M61" s="21" t="n"/>
      <c r="N61" s="21" t="n"/>
    </row>
    <row r="62" ht="15" customHeight="1" s="14">
      <c r="A62" s="21" t="n">
        <v>60</v>
      </c>
      <c r="B62" s="21" t="inlineStr">
        <is>
          <t>U13</t>
        </is>
      </c>
      <c r="C62" s="21" t="n">
        <v>1</v>
      </c>
      <c r="D62" s="21" t="inlineStr">
        <is>
          <t>Texas Instruments</t>
        </is>
      </c>
      <c r="E62" s="21" t="inlineStr">
        <is>
          <t>SN74LVC2G17DBVR</t>
        </is>
      </c>
      <c r="F62" s="22" t="inlineStr">
        <is>
          <t>SN74LVC2G17 (U_INPUT)</t>
        </is>
      </c>
      <c r="G62" s="21" t="inlineStr">
        <is>
          <t>SOT-23-6</t>
        </is>
      </c>
      <c r="H62" s="23" t="n">
        <v>0.304</v>
      </c>
      <c r="I62" s="23">
        <f>C62*H62*1</f>
        <v/>
      </c>
      <c r="J62" s="21" t="n"/>
      <c r="K62" s="24" t="inlineStr">
        <is>
          <t>SN74LVC2G17DBVR</t>
        </is>
      </c>
      <c r="L62" s="22" t="n"/>
      <c r="M62" s="21" t="n"/>
      <c r="N62" s="21" t="n"/>
    </row>
    <row r="63" ht="15" customHeight="1" s="14">
      <c r="A63" s="21" t="n">
        <v>61</v>
      </c>
      <c r="B63" s="21" t="inlineStr">
        <is>
          <t>F3 F4 F5</t>
        </is>
      </c>
      <c r="C63" s="21" t="n">
        <v>3</v>
      </c>
      <c r="D63" s="21" t="inlineStr">
        <is>
          <t>Littelfuse</t>
        </is>
      </c>
      <c r="E63" s="21" t="inlineStr">
        <is>
          <t>1206L010/60WR</t>
        </is>
      </c>
      <c r="F63" s="22" t="inlineStr">
        <is>
          <t>100mA PTC (F_SENSOR)</t>
        </is>
      </c>
      <c r="G63" s="21" t="inlineStr">
        <is>
          <t>Fuse_1206_3216Metric</t>
        </is>
      </c>
      <c r="H63" s="23" t="n">
        <v>0.453</v>
      </c>
      <c r="I63" s="23">
        <f>C63*H63*1</f>
        <v/>
      </c>
      <c r="J63" s="21" t="n"/>
      <c r="K63" s="24" t="inlineStr">
        <is>
          <t>1206L010/60WR</t>
        </is>
      </c>
      <c r="L63" s="22" t="n"/>
      <c r="M63" s="21" t="n"/>
      <c r="N63" s="21" t="n"/>
    </row>
    <row r="64" ht="15" customHeight="1" s="14">
      <c r="A64" s="21" t="n">
        <v>62</v>
      </c>
      <c r="B64" s="21" t="inlineStr">
        <is>
          <t>R16 R17 R19 R20 R22 R23 R25 R26 R28 R29 R49</t>
        </is>
      </c>
      <c r="C64" s="21" t="n">
        <v>11</v>
      </c>
      <c r="D64" s="21" t="inlineStr">
        <is>
          <t>Yageo</t>
        </is>
      </c>
      <c r="E64" s="21" t="inlineStr">
        <is>
          <t>RT0805BRD0720KL</t>
        </is>
      </c>
      <c r="F64" s="22" t="inlineStr">
        <is>
          <t>20k 0.1% (R_OILH)</t>
        </is>
      </c>
      <c r="G64" s="21" t="inlineStr">
        <is>
          <t>R_0805_2012Metric</t>
        </is>
      </c>
      <c r="H64" s="23" t="n">
        <v>0.336</v>
      </c>
      <c r="I64" s="23">
        <f>C64*H64*1</f>
        <v/>
      </c>
      <c r="J64" s="21" t="n"/>
      <c r="K64" s="24" t="inlineStr">
        <is>
          <t>RT0805BRD0720KL</t>
        </is>
      </c>
      <c r="L64" s="22" t="n"/>
      <c r="M64" s="21" t="n"/>
      <c r="N64" s="21" t="n"/>
    </row>
    <row r="65" ht="15" customHeight="1" s="14">
      <c r="A65" s="21" t="n">
        <v>63</v>
      </c>
      <c r="B65" s="21" t="inlineStr">
        <is>
          <t>D8 D10 D12 D14 D16 D21</t>
        </is>
      </c>
      <c r="C65" s="21" t="n">
        <v>6</v>
      </c>
      <c r="D65" s="21" t="inlineStr">
        <is>
          <t>Texas Instruments</t>
        </is>
      </c>
      <c r="E65" s="21" t="inlineStr">
        <is>
          <t>LM4040AIM3-3.0/NOPB</t>
        </is>
      </c>
      <c r="F65" s="22" t="inlineStr">
        <is>
          <t>LM4040 3.0 (D_OILP)</t>
        </is>
      </c>
      <c r="G65" s="21" t="inlineStr">
        <is>
          <t>SOT-23</t>
        </is>
      </c>
      <c r="H65" s="23" t="n">
        <v>1.761</v>
      </c>
      <c r="I65" s="23">
        <f>C65*H65*1</f>
        <v/>
      </c>
      <c r="J65" s="21" t="n"/>
      <c r="K65" s="24" t="inlineStr">
        <is>
          <t>LM4040AIM3-3.0/NOPB</t>
        </is>
      </c>
      <c r="L65" s="22" t="n"/>
      <c r="M65" s="21" t="n"/>
      <c r="N65" s="21" t="n"/>
    </row>
    <row r="66" ht="15" customHeight="1" s="14">
      <c r="A66" s="21" t="n">
        <v>64</v>
      </c>
      <c r="B66" s="21" t="inlineStr">
        <is>
          <t>R48</t>
        </is>
      </c>
      <c r="C66" s="21" t="n">
        <v>1</v>
      </c>
      <c r="D66" s="21" t="inlineStr">
        <is>
          <t>Yageo</t>
        </is>
      </c>
      <c r="E66" s="21" t="inlineStr">
        <is>
          <t>RT0805BRD07180KL</t>
        </is>
      </c>
      <c r="F66" s="22" t="inlineStr">
        <is>
          <t>180k 0.1% (R_VINMONH)</t>
        </is>
      </c>
      <c r="G66" s="21" t="inlineStr">
        <is>
          <t>R_0805_2012Metric</t>
        </is>
      </c>
      <c r="H66" s="23" t="n">
        <v>1.614</v>
      </c>
      <c r="I66" s="23">
        <f>C66*H66*1</f>
        <v/>
      </c>
      <c r="J66" s="21" t="n"/>
      <c r="K66" s="24" t="inlineStr">
        <is>
          <t>RT0805BRD07180KL</t>
        </is>
      </c>
      <c r="L66" s="22" t="n"/>
      <c r="M66" s="21" t="n"/>
      <c r="N66" s="21" t="n"/>
    </row>
    <row r="67" ht="15" customHeight="1" s="14">
      <c r="A67" s="21" t="n">
        <v>65</v>
      </c>
      <c r="B67" s="21" t="inlineStr">
        <is>
          <t>R31</t>
        </is>
      </c>
      <c r="C67" s="21" t="n">
        <v>1</v>
      </c>
      <c r="D67" s="21" t="inlineStr">
        <is>
          <t>Yageo</t>
        </is>
      </c>
      <c r="E67" s="21" t="inlineStr">
        <is>
          <t>RC0805FR-07150RL</t>
        </is>
      </c>
      <c r="F67" s="22" t="inlineStr">
        <is>
          <t>150 1% (R_NTC_BIAS)</t>
        </is>
      </c>
      <c r="G67" s="21" t="inlineStr">
        <is>
          <t>R_0805_2012Metric</t>
        </is>
      </c>
      <c r="H67" s="23" t="n">
        <v>0.243</v>
      </c>
      <c r="I67" s="23">
        <f>C67*H67*1</f>
        <v/>
      </c>
      <c r="J67" s="21" t="n"/>
      <c r="K67" s="24" t="inlineStr">
        <is>
          <t>RC0805FR-07150RL</t>
        </is>
      </c>
      <c r="L67" s="22" t="n"/>
      <c r="M67" s="21" t="n"/>
      <c r="N67" s="21" t="n"/>
    </row>
    <row r="68" ht="15" customHeight="1" s="14">
      <c r="A68" s="21" t="n">
        <v>66</v>
      </c>
      <c r="B68" s="21" t="inlineStr">
        <is>
          <t>U14</t>
        </is>
      </c>
      <c r="C68" s="21" t="n">
        <v>1</v>
      </c>
      <c r="D68" s="21" t="inlineStr">
        <is>
          <t>Texas Instruments</t>
        </is>
      </c>
      <c r="E68" s="21" t="inlineStr">
        <is>
          <t>LM4040AIM3-4.1/NOPB</t>
        </is>
      </c>
      <c r="F68" s="22" t="inlineStr">
        <is>
          <t>LM4040 4.1 (U_NTC_REF)</t>
        </is>
      </c>
      <c r="G68" s="21" t="inlineStr">
        <is>
          <t>SOT-23</t>
        </is>
      </c>
      <c r="H68" s="23" t="n">
        <v>3.019</v>
      </c>
      <c r="I68" s="23">
        <f>C68*H68*1</f>
        <v/>
      </c>
      <c r="J68" s="21" t="n"/>
      <c r="K68" s="24" t="inlineStr">
        <is>
          <t>LM4040AIM3-4.1/NOPB</t>
        </is>
      </c>
      <c r="L68" s="22" t="n"/>
      <c r="M68" s="21" t="n"/>
      <c r="N68" s="21" t="n"/>
    </row>
    <row r="69" ht="15" customHeight="1" s="14">
      <c r="A69" s="21" t="n">
        <v>67</v>
      </c>
      <c r="B69" s="21" t="inlineStr">
        <is>
          <t>R32</t>
        </is>
      </c>
      <c r="C69" s="21" t="n">
        <v>1</v>
      </c>
      <c r="D69" s="21" t="inlineStr">
        <is>
          <t>Yageo</t>
        </is>
      </c>
      <c r="E69" s="21" t="inlineStr">
        <is>
          <t>RT0805BRD072K49L</t>
        </is>
      </c>
      <c r="F69" s="22" t="inlineStr">
        <is>
          <t>2.49k 0.1% (R_NTC_PU)</t>
        </is>
      </c>
      <c r="G69" s="21" t="inlineStr">
        <is>
          <t>R_0805_2012Metric</t>
        </is>
      </c>
      <c r="H69" s="23" t="n">
        <v>1.544</v>
      </c>
      <c r="I69" s="23">
        <f>C69*H69*1</f>
        <v/>
      </c>
      <c r="J69" s="21" t="n"/>
      <c r="K69" s="24" t="inlineStr">
        <is>
          <t>RT0805BRD072K49L</t>
        </is>
      </c>
      <c r="L69" s="22" t="n"/>
      <c r="M69" s="21" t="n"/>
      <c r="N69" s="21" t="n"/>
    </row>
    <row r="70" ht="15" customHeight="1" s="14">
      <c r="A70" s="21" t="n">
        <v>68</v>
      </c>
      <c r="B70" s="21" t="inlineStr">
        <is>
          <t>U15 U16</t>
        </is>
      </c>
      <c r="C70" s="21" t="n">
        <v>2</v>
      </c>
      <c r="D70" s="21" t="inlineStr">
        <is>
          <t>Texas Instruments</t>
        </is>
      </c>
      <c r="E70" s="21" t="inlineStr">
        <is>
          <t>TMUX1511PWR</t>
        </is>
      </c>
      <c r="F70" s="22" t="inlineStr">
        <is>
          <t>TMUX1511 (U_ADC)</t>
        </is>
      </c>
      <c r="G70" s="21" t="inlineStr">
        <is>
          <t>TSSOP-14_4.4x5mm_P0.65mm</t>
        </is>
      </c>
      <c r="H70" s="23" t="n">
        <v>0.865</v>
      </c>
      <c r="I70" s="23">
        <f>C70*H70*1</f>
        <v/>
      </c>
      <c r="J70" s="21" t="n"/>
      <c r="K70" s="24" t="inlineStr">
        <is>
          <t>TMUX1511PWR</t>
        </is>
      </c>
      <c r="L70" s="22" t="n"/>
      <c r="M70" s="21" t="n"/>
      <c r="N70" s="21" t="n"/>
    </row>
    <row r="71" ht="15" customHeight="1" s="14">
      <c r="A71" s="21" t="n">
        <v>69</v>
      </c>
      <c r="B71" s="21" t="inlineStr">
        <is>
          <t>J2</t>
        </is>
      </c>
      <c r="C71" s="21" t="n">
        <v>1</v>
      </c>
      <c r="D71" s="21" t="inlineStr">
        <is>
          <t>Phoenix Contact</t>
        </is>
      </c>
      <c r="E71" s="21" t="inlineStr">
        <is>
          <t>1729034</t>
        </is>
      </c>
      <c r="F71" s="22" t="inlineStr">
        <is>
          <t>SCREEN J10 ONLY (J2)</t>
        </is>
      </c>
      <c r="G71" s="21" t="inlineStr">
        <is>
          <t>TerminalBlock_Phoenix_MKDS-1,5-4-5.08_1x04_P5.08mm_Horizontal</t>
        </is>
      </c>
      <c r="H71" s="23" t="n">
        <v>6.063</v>
      </c>
      <c r="I71" s="23">
        <f>C71*H71*1</f>
        <v/>
      </c>
      <c r="J71" s="21" t="inlineStr">
        <is>
          <t>7-10 Workdays</t>
        </is>
      </c>
      <c r="K71" s="24" t="inlineStr">
        <is>
          <t>1729034</t>
        </is>
      </c>
      <c r="L71" s="22" t="n"/>
      <c r="M71" s="21" t="n"/>
      <c r="N71" s="21" t="n"/>
    </row>
    <row r="72" ht="15" customHeight="1" s="14">
      <c r="A72" s="21" t="n">
        <v>70</v>
      </c>
      <c r="B72" s="21" t="inlineStr">
        <is>
          <t>U4 U5</t>
        </is>
      </c>
      <c r="C72" s="21" t="n">
        <v>2</v>
      </c>
      <c r="D72" s="21" t="inlineStr">
        <is>
          <t>Texas Instruments</t>
        </is>
      </c>
      <c r="E72" s="21" t="inlineStr">
        <is>
          <t>SN74LVC1T45DBVR</t>
        </is>
      </c>
      <c r="F72" s="22" t="inlineStr">
        <is>
          <t>SN74LVC1T45 (U4)</t>
        </is>
      </c>
      <c r="G72" s="21" t="inlineStr">
        <is>
          <t>SOT-23-6</t>
        </is>
      </c>
      <c r="H72" s="23" t="n">
        <v>0.089</v>
      </c>
      <c r="I72" s="23">
        <f>C72*H72*1</f>
        <v/>
      </c>
      <c r="J72" s="21" t="n"/>
      <c r="K72" s="24" t="inlineStr">
        <is>
          <t>SN74LVC1T45DBVR</t>
        </is>
      </c>
      <c r="L72" s="22" t="n"/>
      <c r="M72" s="21" t="n"/>
      <c r="N72" s="21" t="n"/>
    </row>
    <row r="73" ht="15" customHeight="1" s="14">
      <c r="A73" s="21" t="n">
        <v>71</v>
      </c>
      <c r="B73" s="21" t="inlineStr">
        <is>
          <t>R33 R34</t>
        </is>
      </c>
      <c r="C73" s="21" t="n">
        <v>2</v>
      </c>
      <c r="D73" s="21" t="inlineStr">
        <is>
          <t>Yageo</t>
        </is>
      </c>
      <c r="E73" s="21" t="inlineStr">
        <is>
          <t>RC0805FR-07100RL</t>
        </is>
      </c>
      <c r="F73" s="22" t="inlineStr">
        <is>
          <t>100 1% (R_DTX)</t>
        </is>
      </c>
      <c r="G73" s="21" t="inlineStr">
        <is>
          <t>R_0805_2012Metric</t>
        </is>
      </c>
      <c r="H73" s="23" t="n">
        <v>0.062</v>
      </c>
      <c r="I73" s="23">
        <f>C73*H73*1</f>
        <v/>
      </c>
      <c r="J73" s="21" t="n"/>
      <c r="K73" s="24" t="inlineStr">
        <is>
          <t>RC0805FR-07100RL</t>
        </is>
      </c>
      <c r="L73" s="22" t="n"/>
      <c r="M73" s="21" t="n"/>
      <c r="N73" s="21" t="n"/>
    </row>
    <row r="74" ht="15" customHeight="1" s="14">
      <c r="A74" s="21" t="n">
        <v>72</v>
      </c>
      <c r="B74" s="21" t="inlineStr">
        <is>
          <t>R35 R36 R45 R46 R47</t>
        </is>
      </c>
      <c r="C74" s="21" t="n">
        <v>5</v>
      </c>
      <c r="D74" s="21" t="inlineStr">
        <is>
          <t>Yageo</t>
        </is>
      </c>
      <c r="E74" s="21" t="inlineStr">
        <is>
          <t>RC0805FR-0747KL</t>
        </is>
      </c>
      <c r="F74" s="22" t="inlineStr">
        <is>
          <t>47k 1% (R_DTIDLE)</t>
        </is>
      </c>
      <c r="G74" s="21" t="inlineStr">
        <is>
          <t>R_0805_2012Metric</t>
        </is>
      </c>
      <c r="H74" s="23" t="n">
        <v>0.048</v>
      </c>
      <c r="I74" s="23">
        <f>C74*H74*1</f>
        <v/>
      </c>
      <c r="J74" s="21" t="n"/>
      <c r="K74" s="24" t="inlineStr">
        <is>
          <t>RC0805FR-0747KL</t>
        </is>
      </c>
      <c r="L74" s="22" t="n"/>
      <c r="M74" s="21" t="n"/>
      <c r="N74" s="21" t="n"/>
    </row>
    <row r="75" ht="15" customHeight="1" s="14">
      <c r="A75" s="21" t="n">
        <v>73</v>
      </c>
      <c r="B75" s="21" t="inlineStr">
        <is>
          <t>U17</t>
        </is>
      </c>
      <c r="C75" s="21" t="n">
        <v>1</v>
      </c>
      <c r="D75" s="21" t="inlineStr">
        <is>
          <t>Espressif</t>
        </is>
      </c>
      <c r="E75" s="21" t="inlineStr">
        <is>
          <t>ESP32-S3-WROOM-1-N8R2</t>
        </is>
      </c>
      <c r="F75" s="22" t="inlineStr">
        <is>
          <t>ESP32-S3-WROOM-1-N8R2 (U_NET)</t>
        </is>
      </c>
      <c r="G75" s="21" t="inlineStr">
        <is>
          <t>ESP32-S3-WROOM-1</t>
        </is>
      </c>
      <c r="H75" s="23" t="n">
        <v>7.044</v>
      </c>
      <c r="I75" s="23">
        <f>C75*H75*1</f>
        <v/>
      </c>
      <c r="J75" s="21" t="n"/>
      <c r="K75" s="24" t="inlineStr">
        <is>
          <t>ESP32-S3-WROOM-1-N8R2</t>
        </is>
      </c>
      <c r="L75" s="22" t="n"/>
      <c r="M75" s="21" t="n"/>
      <c r="N75" s="21" t="n"/>
    </row>
    <row r="76" ht="15" customHeight="1" s="14">
      <c r="A76" s="21" t="n">
        <v>74</v>
      </c>
      <c r="B76" s="21" t="inlineStr">
        <is>
          <t>U18</t>
        </is>
      </c>
      <c r="C76" s="21" t="n">
        <v>1</v>
      </c>
      <c r="D76" s="21" t="inlineStr">
        <is>
          <t>Texas Instruments</t>
        </is>
      </c>
      <c r="E76" s="21" t="inlineStr">
        <is>
          <t>SN74LVC125APWR</t>
        </is>
      </c>
      <c r="F76" s="22" t="inlineStr">
        <is>
          <t>SN74LVC125A (U_SPI_TX)</t>
        </is>
      </c>
      <c r="G76" s="21" t="inlineStr">
        <is>
          <t>TSSOP-14_4.4x5mm_P0.65mm</t>
        </is>
      </c>
      <c r="H76" s="23" t="n">
        <v>0.435</v>
      </c>
      <c r="I76" s="23">
        <f>C76*H76*1</f>
        <v/>
      </c>
      <c r="J76" s="21" t="n"/>
      <c r="K76" s="24" t="inlineStr">
        <is>
          <t>SN74LVC125APWR</t>
        </is>
      </c>
      <c r="L76" s="22" t="n"/>
      <c r="M76" s="21" t="n"/>
      <c r="N76" s="21" t="n"/>
    </row>
    <row r="77" ht="15" customHeight="1" s="14">
      <c r="A77" s="21" t="n">
        <v>75</v>
      </c>
      <c r="B77" s="21" t="inlineStr">
        <is>
          <t>R41 R42 R43</t>
        </is>
      </c>
      <c r="C77" s="21" t="n">
        <v>3</v>
      </c>
      <c r="D77" s="21" t="inlineStr">
        <is>
          <t>Yageo</t>
        </is>
      </c>
      <c r="E77" s="21" t="inlineStr">
        <is>
          <t>RC0805FR-0733RL</t>
        </is>
      </c>
      <c r="F77" s="22" t="inlineStr">
        <is>
          <t>33 1% (R_NETCS)</t>
        </is>
      </c>
      <c r="G77" s="21" t="inlineStr">
        <is>
          <t>R_0805_2012Metric</t>
        </is>
      </c>
      <c r="H77" s="23" t="n">
        <v>0.06</v>
      </c>
      <c r="I77" s="23">
        <f>C77*H77*1</f>
        <v/>
      </c>
      <c r="J77" s="21" t="n"/>
      <c r="K77" s="24" t="inlineStr">
        <is>
          <t>RC0805FR-0733RL</t>
        </is>
      </c>
      <c r="L77" s="22" t="n"/>
      <c r="M77" s="21" t="n"/>
      <c r="N77" s="21" t="n"/>
    </row>
    <row r="78" ht="15" customHeight="1" s="14">
      <c r="A78" s="21" t="n">
        <v>76</v>
      </c>
      <c r="B78" s="21" t="inlineStr">
        <is>
          <t>U19</t>
        </is>
      </c>
      <c r="C78" s="21" t="n">
        <v>1</v>
      </c>
      <c r="D78" s="21" t="inlineStr">
        <is>
          <t>Texas Instruments</t>
        </is>
      </c>
      <c r="E78" s="21" t="inlineStr">
        <is>
          <t>SN74LVC2G125DCUR</t>
        </is>
      </c>
      <c r="F78" s="22" t="inlineStr">
        <is>
          <t>SN74LVC2G125 (U_SPI_RX)</t>
        </is>
      </c>
      <c r="G78" s="21" t="inlineStr">
        <is>
          <t>VSSOP-8_2.3x2mm_P0.5mm</t>
        </is>
      </c>
      <c r="H78" s="23" t="n">
        <v>0.334</v>
      </c>
      <c r="I78" s="23">
        <f>C78*H78*1</f>
        <v/>
      </c>
      <c r="J78" s="21" t="n"/>
      <c r="K78" s="24" t="inlineStr">
        <is>
          <t>SN74LVC2G125DCUR</t>
        </is>
      </c>
      <c r="L78" s="22" t="n"/>
      <c r="M78" s="21" t="n"/>
      <c r="N78" s="21" t="n"/>
    </row>
    <row r="79" ht="15" customHeight="1" s="14">
      <c r="A79" s="21" t="n">
        <v>77</v>
      </c>
      <c r="B79" s="21" t="inlineStr">
        <is>
          <t>J10</t>
        </is>
      </c>
      <c r="C79" s="21" t="n">
        <v>1</v>
      </c>
      <c r="D79" s="21" t="inlineStr">
        <is>
          <t>Samtec</t>
        </is>
      </c>
      <c r="E79" s="21" t="inlineStr">
        <is>
          <t>TSW-103-07-G-D</t>
        </is>
      </c>
      <c r="F79" s="22" t="inlineStr">
        <is>
          <t>NET 3V3 UART SERVICE (J_NET_SERVICE)</t>
        </is>
      </c>
      <c r="G79" s="21" t="inlineStr">
        <is>
          <t>PinHeader_2x03_P2.54mm_Vertical</t>
        </is>
      </c>
      <c r="H79" s="23" t="n">
        <v>1.409</v>
      </c>
      <c r="I79" s="23">
        <f>C79*H79*1</f>
        <v/>
      </c>
      <c r="J79" s="21" t="n"/>
      <c r="K79" s="24" t="inlineStr">
        <is>
          <t>TSW-103-07-G-D</t>
        </is>
      </c>
      <c r="L79" s="22" t="n"/>
      <c r="M79" s="21" t="n"/>
      <c r="N79" s="21" t="n"/>
    </row>
    <row r="80" ht="15" customHeight="1" s="14">
      <c r="H80" s="21" t="inlineStr">
        <is>
          <t>Component Cost</t>
        </is>
      </c>
      <c r="I80" s="27">
        <f>SUM(I3:I79)</f>
        <v/>
      </c>
    </row>
    <row r="81" ht="15" customHeight="1" s="14">
      <c r="H81" s="21" t="inlineStr">
        <is>
          <t>Assembly Cost</t>
        </is>
      </c>
      <c r="I81" s="27" t="n">
        <v>29</v>
      </c>
    </row>
    <row r="82" ht="38.25" customHeight="1" s="14">
      <c r="H82" s="21" t="inlineStr">
        <is>
          <t>PCB Cost</t>
        </is>
      </c>
      <c r="I82" s="27" t="n"/>
      <c r="J82" s="22" t="inlineStr">
        <is>
          <t>Please upload your Gerber file to the [uner review]</t>
        </is>
      </c>
    </row>
    <row r="83" ht="15" customHeight="1" s="14">
      <c r="H83" s="21" t="inlineStr">
        <is>
          <t>All Total 1 Unit</t>
        </is>
      </c>
      <c r="I83" s="27">
        <f>SUM(I80:I82)</f>
        <v/>
      </c>
    </row>
    <row r="85" ht="15" customHeight="1" s="14">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row>
    <row r="86" ht="15" customHeight="1" s="14">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row>
    <row r="87" ht="15" customHeight="1" s="14">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row>
    <row r="88" ht="15" customHeight="1" s="14">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row>
    <row r="89" ht="15" customHeight="1" s="14">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row>
    <row r="90" ht="15" customHeight="1" s="14">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row>
    <row r="91" ht="15" customHeight="1" s="14">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row>
    <row r="92" ht="15" customHeight="1" s="14">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row>
    <row r="93" ht="15" customHeight="1" s="14">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row>
    <row r="94" ht="15" customHeight="1" s="1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row>
    <row r="95" ht="15" customHeight="1" s="14">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row>
    <row r="96" ht="15" customHeight="1" s="14">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row>
    <row r="97" ht="15" customHeight="1" s="14">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row>
    <row r="98" ht="15" customHeight="1" s="14">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row>
    <row r="99" ht="15" customHeight="1" s="14">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row>
    <row r="100" ht="15" customHeight="1" s="14">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row>
    <row r="101" ht="15" customHeight="1" s="14">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row>
    <row r="102" ht="15" customHeight="1" s="14">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row>
    <row r="103" ht="15" customHeight="1" s="14">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row>
    <row r="104" ht="15" customHeight="1" s="1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row>
    <row r="105" ht="15" customHeight="1" s="14">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row>
    <row r="106" ht="15" customHeight="1" s="14">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row>
    <row r="107" ht="15" customHeight="1" s="14">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row>
    <row r="108" ht="15" customHeight="1" s="14">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row>
    <row r="109" ht="15" customHeight="1" s="14">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row>
    <row r="110" ht="15" customHeight="1" s="14">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row>
    <row r="111" ht="15" customHeight="1" s="14">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row>
    <row r="112" ht="15" customHeight="1" s="14">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row>
    <row r="113" ht="15" customHeight="1" s="14">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row>
    <row r="114" ht="15" customHeight="1" s="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row>
    <row r="115" ht="15" customHeight="1" s="14">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row>
    <row r="116" ht="15" customHeight="1" s="14">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row>
    <row r="117" ht="15" customHeight="1" s="14">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row>
    <row r="118" ht="15" customHeight="1" s="14">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row>
    <row r="119" ht="15" customHeight="1" s="14">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row>
    <row r="120" ht="15" customHeight="1" s="14">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row>
    <row r="121" ht="15" customHeight="1" s="14">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row>
    <row r="122" ht="15" customHeight="1" s="14">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row>
    <row r="123" ht="15" customHeight="1" s="14">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row>
    <row r="124" ht="15" customHeight="1" s="1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row>
    <row r="125" ht="15" customHeight="1" s="14">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row>
    <row r="126" ht="15" customHeight="1" s="14">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row>
    <row r="127" ht="15" customHeight="1" s="14">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row>
    <row r="128" ht="15" customHeight="1" s="14">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row>
    <row r="129" ht="15" customHeight="1" s="14">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row>
    <row r="130" ht="15" customHeight="1" s="14">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row>
    <row r="131" ht="15" customHeight="1" s="14">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row>
    <row r="132" ht="15" customHeight="1" s="14">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row>
    <row r="133" ht="15" customHeight="1" s="14">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row>
    <row r="134" ht="15" customHeight="1" s="1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row>
    <row r="135" ht="15" customHeight="1" s="14">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row>
    <row r="136" ht="15" customHeight="1" s="14">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row>
    <row r="137" ht="15" customHeight="1" s="14">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row>
    <row r="138" ht="15" customHeight="1" s="14">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row>
    <row r="139" ht="15" customHeight="1" s="14">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row>
    <row r="140" ht="15" customHeight="1" s="14">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row>
    <row r="141" ht="15" customHeight="1" s="14">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row>
    <row r="142" ht="15" customHeight="1" s="14">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row>
    <row r="143" ht="15" customHeight="1" s="14">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row>
    <row r="144" ht="15" customHeight="1" s="1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row>
    <row r="145" ht="15" customHeight="1" s="14">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row>
    <row r="146" ht="15" customHeight="1" s="14">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row>
    <row r="147" ht="15" customHeight="1" s="14">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row>
    <row r="148" ht="15" customHeight="1" s="14">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row>
    <row r="149" ht="15" customHeight="1" s="14">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row>
    <row r="150" ht="15" customHeight="1" s="14">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row>
    <row r="151" ht="15" customHeight="1" s="14">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row>
    <row r="152" ht="15" customHeight="1" s="14">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row>
    <row r="153" ht="15" customHeight="1" s="14">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row>
    <row r="154" ht="15" customHeight="1" s="1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row>
    <row r="155" ht="15" customHeight="1" s="14">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row>
    <row r="156" ht="15" customHeight="1" s="14">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row>
    <row r="157" ht="15" customHeight="1" s="14">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row>
    <row r="158" ht="15" customHeight="1" s="14">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row>
    <row r="159" ht="15" customHeight="1" s="14">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row>
    <row r="160" ht="15" customHeight="1" s="14">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row>
    <row r="161" ht="15" customHeight="1" s="14">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row>
    <row r="162" ht="15" customHeight="1" s="14">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row>
    <row r="163" ht="15" customHeight="1" s="14">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row>
    <row r="164" ht="15" customHeight="1" s="1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row>
    <row r="165" ht="15" customHeight="1" s="14">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row>
    <row r="166" ht="15" customHeight="1" s="14">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row>
    <row r="167" ht="15" customHeight="1" s="14">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row>
    <row r="168" ht="15" customHeight="1" s="14">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row>
    <row r="169" ht="15" customHeight="1" s="14">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row>
    <row r="170" ht="15" customHeight="1" s="14">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row>
    <row r="171" ht="15" customHeight="1" s="14">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row>
    <row r="172" ht="15" customHeight="1" s="14">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row>
    <row r="173" ht="15" customHeight="1" s="14">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row>
    <row r="174" ht="15" customHeight="1" s="1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row>
    <row r="175" ht="15" customHeight="1" s="14">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row>
    <row r="176" ht="15" customHeight="1" s="14">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row>
    <row r="177" ht="15" customHeight="1" s="14">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row>
    <row r="178" ht="15" customHeight="1" s="14">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row>
    <row r="179" ht="15" customHeight="1" s="14">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row>
    <row r="180" ht="15" customHeight="1" s="14">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row>
    <row r="181" ht="15" customHeight="1" s="14">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row>
    <row r="182" ht="15" customHeight="1" s="14">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row>
    <row r="183" ht="15" customHeight="1" s="14">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row>
    <row r="184" ht="15" customHeight="1" s="1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row>
    <row r="185" ht="15" customHeight="1" s="14">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row>
    <row r="186" ht="15" customHeight="1" s="14">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row>
    <row r="187" ht="15" customHeight="1" s="14">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row>
    <row r="188" ht="15" customHeight="1" s="14">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row>
    <row r="189" ht="15" customHeight="1" s="14">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row>
    <row r="190" ht="15" customHeight="1" s="14">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row>
    <row r="191" ht="15" customHeight="1" s="14">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row>
    <row r="192" ht="15" customHeight="1" s="14">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row>
    <row r="193" ht="15" customHeight="1" s="14">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row>
    <row r="194" ht="15" customHeight="1" s="1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row>
    <row r="195" ht="15" customHeight="1" s="14">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row>
    <row r="196" ht="15" customHeight="1" s="14">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row>
    <row r="197" ht="15" customHeight="1" s="14">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row>
    <row r="198" ht="15" customHeight="1" s="14">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row>
    <row r="199" ht="15" customHeight="1" s="14">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row>
    <row r="200" ht="15" customHeight="1" s="14">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row>
    <row r="201" ht="15" customHeight="1" s="14">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row>
    <row r="202" ht="15" customHeight="1" s="14">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row>
    <row r="203" ht="15" customHeight="1" s="14">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row>
    <row r="204" ht="15" customHeight="1" s="1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row>
    <row r="205" ht="15" customHeight="1" s="14">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row>
    <row r="206" ht="15" customHeight="1" s="14">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row>
    <row r="207" ht="15" customHeight="1" s="14">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row>
    <row r="208" ht="15" customHeight="1" s="14">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row>
    <row r="209" ht="15" customHeight="1" s="14">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row>
    <row r="210" ht="15" customHeight="1" s="14">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row>
    <row r="211" ht="15" customHeight="1" s="14">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row>
    <row r="212" ht="15" customHeight="1" s="14">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row>
    <row r="213" ht="15" customHeight="1" s="14">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row>
    <row r="214" ht="15" customHeight="1" s="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row>
    <row r="215" ht="15" customHeight="1" s="14">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row>
    <row r="216" ht="15" customHeight="1" s="14">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row>
    <row r="217" ht="15" customHeight="1" s="14">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row>
    <row r="218" ht="15" customHeight="1" s="14">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row>
    <row r="219" ht="15" customHeight="1" s="14">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row>
    <row r="220" ht="15" customHeight="1" s="14">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row>
    <row r="221" ht="15" customHeight="1" s="14">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row>
    <row r="222" ht="15" customHeight="1" s="14">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row>
    <row r="223" ht="15" customHeight="1" s="14">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row>
    <row r="224" ht="15" customHeight="1" s="1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row>
    <row r="225" ht="15" customHeight="1" s="14">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row>
    <row r="226" ht="15" customHeight="1" s="14">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row>
    <row r="227" ht="15" customHeight="1" s="14">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row>
    <row r="228" ht="15" customHeight="1" s="14">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row>
    <row r="229" ht="15" customHeight="1" s="14">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row>
    <row r="230" ht="15" customHeight="1" s="14">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row>
    <row r="231" ht="15" customHeight="1" s="14">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row>
    <row r="232" ht="15" customHeight="1" s="14">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row>
    <row r="233" ht="15" customHeight="1" s="14">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row>
    <row r="234" ht="15" customHeight="1" s="1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row>
    <row r="235" ht="15" customHeight="1" s="14">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row>
    <row r="236" ht="15" customHeight="1" s="14">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row>
    <row r="237" ht="15" customHeight="1" s="14">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row>
    <row r="238" ht="15" customHeight="1" s="14">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row>
    <row r="239" ht="15" customHeight="1" s="14">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row>
    <row r="240" ht="15" customHeight="1" s="14">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row>
    <row r="241" ht="15" customHeight="1" s="14">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row>
    <row r="242" ht="15" customHeight="1" s="14">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row>
    <row r="243" ht="15" customHeight="1" s="14">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row>
    <row r="244" ht="15" customHeight="1" s="1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row>
    <row r="245" ht="15" customHeight="1" s="14">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row>
    <row r="246" ht="15" customHeight="1" s="14">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row>
    <row r="247" ht="15" customHeight="1" s="14">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row>
    <row r="248" ht="15" customHeight="1" s="14">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row>
    <row r="249" ht="15" customHeight="1" s="14">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row>
    <row r="250" ht="15" customHeight="1" s="14">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row>
    <row r="251" ht="15" customHeight="1" s="14">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row>
    <row r="252" ht="15" customHeight="1" s="14">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row>
    <row r="253" ht="15" customHeight="1" s="14">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row>
    <row r="254" ht="15" customHeight="1" s="1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row>
    <row r="255" ht="15" customHeight="1" s="14">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row>
    <row r="256" ht="15" customHeight="1" s="14">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row>
    <row r="257" ht="15" customHeight="1" s="14">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row>
    <row r="258" ht="15" customHeight="1" s="14">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row>
    <row r="259" ht="15" customHeight="1" s="14">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row>
    <row r="260" ht="15" customHeight="1" s="14">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row>
    <row r="261" ht="15" customHeight="1" s="14">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row>
    <row r="262" ht="15" customHeight="1" s="14">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row>
    <row r="263" ht="15" customHeight="1" s="14">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row>
    <row r="264" ht="15" customHeight="1" s="1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row>
    <row r="265" ht="15" customHeight="1" s="14">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row>
    <row r="266" ht="15" customHeight="1" s="14">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row>
    <row r="267" ht="15" customHeight="1" s="14">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row>
    <row r="268" ht="15" customHeight="1" s="14">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row>
    <row r="269" ht="15" customHeight="1" s="14">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row>
    <row r="270" ht="15" customHeight="1" s="14">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row>
    <row r="271" ht="15" customHeight="1" s="14">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row>
    <row r="272" ht="15" customHeight="1" s="14">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row>
    <row r="273" ht="15" customHeight="1" s="14">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row>
    <row r="274" ht="15" customHeight="1" s="1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row>
    <row r="275" ht="15" customHeight="1" s="14">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row>
    <row r="276" ht="15" customHeight="1" s="14">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row>
    <row r="277" ht="15" customHeight="1" s="14">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row>
    <row r="278" ht="15" customHeight="1" s="14">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row>
    <row r="279" ht="15" customHeight="1" s="14">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row>
    <row r="280" ht="15" customHeight="1" s="14">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row>
    <row r="281" ht="15" customHeight="1" s="14">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row>
    <row r="282" ht="15" customHeight="1" s="14">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row>
    <row r="283" ht="15" customHeight="1" s="14">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row>
    <row r="284" ht="15" customHeight="1" s="1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row>
    <row r="285" ht="15" customHeight="1" s="14">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row>
    <row r="286" ht="15" customHeight="1" s="14">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row>
    <row r="287" ht="15" customHeight="1" s="14">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row>
    <row r="288" ht="15" customHeight="1" s="14">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row>
    <row r="289" ht="15" customHeight="1" s="14">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row>
    <row r="290" ht="15" customHeight="1" s="14">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row>
    <row r="291" ht="15" customHeight="1" s="14">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row>
    <row r="292" ht="15" customHeight="1" s="14">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row>
    <row r="293" ht="15" customHeight="1" s="14">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row>
    <row r="294" ht="15" customHeight="1" s="1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row>
    <row r="295" ht="15" customHeight="1" s="14">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row>
    <row r="296" ht="15" customHeight="1" s="14">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row>
    <row r="297" ht="15" customHeight="1" s="14">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row>
    <row r="298" ht="15" customHeight="1" s="14">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row>
    <row r="299" ht="15" customHeight="1" s="14">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row>
    <row r="300" ht="15" customHeight="1" s="14">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row>
    <row r="301" ht="15" customHeight="1" s="14">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row>
    <row r="302" ht="15" customHeight="1" s="14">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row>
    <row r="303" ht="15" customHeight="1" s="14">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row>
    <row r="304" ht="15" customHeight="1" s="1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row>
    <row r="305" ht="15" customHeight="1" s="14">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row>
    <row r="306" ht="15" customHeight="1" s="14">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row>
    <row r="307" ht="15" customHeight="1" s="14">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row>
    <row r="308" ht="15" customHeight="1" s="14">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row>
    <row r="309" ht="15" customHeight="1" s="14">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row>
    <row r="310" ht="15" customHeight="1" s="14">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row>
    <row r="311" ht="15" customHeight="1" s="14">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row>
    <row r="312" ht="15" customHeight="1" s="14">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row>
    <row r="313" ht="15" customHeight="1" s="14">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row>
    <row r="314" ht="15" customHeight="1" s="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row>
    <row r="315" ht="15" customHeight="1" s="14">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row>
    <row r="316" ht="15" customHeight="1" s="14">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row>
    <row r="317" ht="15" customHeight="1" s="14">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row>
    <row r="318" ht="15" customHeight="1" s="14">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row>
    <row r="319" ht="15" customHeight="1" s="14">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row>
    <row r="320" ht="15" customHeight="1" s="14">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row>
    <row r="321" ht="15" customHeight="1" s="14">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row>
    <row r="322" ht="15" customHeight="1" s="14">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row>
    <row r="323" ht="15" customHeight="1" s="14">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row>
    <row r="324" ht="15" customHeight="1" s="1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row>
    <row r="325" ht="15" customHeight="1" s="14">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row>
    <row r="326" ht="15" customHeight="1" s="14">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row>
    <row r="327" ht="15" customHeight="1" s="14">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row>
    <row r="328" ht="15" customHeight="1" s="14">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row>
    <row r="329" ht="15" customHeight="1" s="14">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row>
    <row r="330" ht="15" customHeight="1" s="14">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row>
    <row r="331" ht="15" customHeight="1" s="14">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row>
    <row r="332" ht="15" customHeight="1" s="14">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row>
    <row r="333" ht="15" customHeight="1" s="14">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row>
    <row r="334" ht="15" customHeight="1" s="1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row>
    <row r="335" ht="15" customHeight="1" s="14">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row>
    <row r="336" ht="15" customHeight="1" s="14">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row>
    <row r="337" ht="15" customHeight="1" s="14">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row>
    <row r="338" ht="15" customHeight="1" s="14">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row>
    <row r="339" ht="15" customHeight="1" s="14">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row>
    <row r="340" ht="15" customHeight="1" s="14">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row>
    <row r="341" ht="15" customHeight="1" s="14">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row>
    <row r="342" ht="15" customHeight="1" s="14">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row>
    <row r="343" ht="15" customHeight="1" s="14">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row>
    <row r="344" ht="15" customHeight="1" s="1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row>
    <row r="345" ht="15" customHeight="1" s="14">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row>
    <row r="346" ht="15" customHeight="1" s="14">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row>
    <row r="347" ht="15" customHeight="1" s="14">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row>
    <row r="348" ht="15" customHeight="1" s="14">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row>
    <row r="349" ht="15" customHeight="1" s="14">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row>
    <row r="350" ht="15" customHeight="1" s="14">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row>
    <row r="351" ht="15" customHeight="1" s="14">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row>
    <row r="352" ht="15" customHeight="1" s="14">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row>
    <row r="353" ht="15" customHeight="1" s="14">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row>
    <row r="354" ht="15" customHeight="1" s="1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row>
    <row r="355" ht="15" customHeight="1" s="14">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row>
    <row r="356" ht="15" customHeight="1" s="14">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row>
    <row r="357" ht="15" customHeight="1" s="14">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row>
    <row r="358" ht="15" customHeight="1" s="14">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row>
    <row r="359" ht="15" customHeight="1" s="14">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row>
    <row r="360" ht="15" customHeight="1" s="14">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row>
    <row r="361" ht="15" customHeight="1" s="14">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row>
    <row r="362" ht="15" customHeight="1" s="14">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row>
    <row r="363" ht="15" customHeight="1" s="14">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row>
    <row r="364" ht="15" customHeight="1" s="1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row>
    <row r="365" ht="15" customHeight="1" s="14">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row>
    <row r="366" ht="15" customHeight="1" s="14">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row>
    <row r="367" ht="15" customHeight="1" s="14">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row>
    <row r="368" ht="15" customHeight="1" s="14">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row>
    <row r="369" ht="15" customHeight="1" s="14">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row>
    <row r="370" ht="15" customHeight="1" s="14">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row>
    <row r="371" ht="15" customHeight="1" s="14">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row>
    <row r="372" ht="15" customHeight="1" s="14">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row>
    <row r="373" ht="15" customHeight="1" s="14">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row>
    <row r="374" ht="15" customHeight="1" s="1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row>
    <row r="375" ht="15" customHeight="1" s="14">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row>
    <row r="376" ht="15" customHeight="1" s="14">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row>
    <row r="377" ht="15" customHeight="1" s="14">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row>
    <row r="378" ht="15" customHeight="1" s="14">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row>
    <row r="379" ht="15" customHeight="1" s="14">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row>
    <row r="380" ht="15" customHeight="1" s="14">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row>
    <row r="381" ht="15" customHeight="1" s="14">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row>
    <row r="382" ht="15" customHeight="1" s="14">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row>
    <row r="383" ht="15" customHeight="1" s="14">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row>
    <row r="384" ht="15" customHeight="1" s="1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row>
    <row r="385" ht="15" customHeight="1" s="14">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row>
    <row r="386" ht="15" customHeight="1" s="14">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row>
    <row r="387" ht="15" customHeight="1" s="14">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row>
    <row r="388" ht="15" customHeight="1" s="14">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row>
    <row r="389" ht="15" customHeight="1" s="14">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row>
    <row r="390" ht="15" customHeight="1" s="14">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row>
    <row r="391" ht="15" customHeight="1" s="14">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row>
    <row r="392" ht="15" customHeight="1" s="14">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row>
    <row r="393" ht="15" customHeight="1" s="14">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row>
    <row r="394" ht="15" customHeight="1" s="1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row>
    <row r="395" ht="15" customHeight="1" s="14">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row>
    <row r="396" ht="15" customHeight="1" s="14">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row>
    <row r="397" ht="15" customHeight="1" s="14">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row>
    <row r="398" ht="15" customHeight="1" s="14">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row>
    <row r="399" ht="15" customHeight="1" s="14">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row>
    <row r="400" ht="15" customHeight="1" s="14">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row>
    <row r="401" ht="15" customHeight="1" s="14">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row>
    <row r="402" ht="15" customHeight="1" s="14">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row>
    <row r="403" ht="15" customHeight="1" s="14">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row>
    <row r="404" ht="15" customHeight="1" s="1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row>
    <row r="405" ht="15" customHeight="1" s="14">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row>
    <row r="406" ht="15" customHeight="1" s="14">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row>
    <row r="407" ht="15" customHeight="1" s="14">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row>
    <row r="408" ht="15" customHeight="1" s="14">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row>
    <row r="409" ht="15" customHeight="1" s="14">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row>
    <row r="410" ht="15" customHeight="1" s="14">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row>
    <row r="411" ht="15" customHeight="1" s="14">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row>
    <row r="412" ht="15" customHeight="1" s="14">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row>
    <row r="413" ht="15" customHeight="1" s="14">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row>
    <row r="414" ht="15" customHeight="1" s="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row>
    <row r="415" ht="15" customHeight="1" s="14">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row>
    <row r="416" ht="15" customHeight="1" s="14">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row>
    <row r="417" ht="15" customHeight="1" s="14">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row>
    <row r="418" ht="15" customHeight="1" s="14">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row>
    <row r="419" ht="15" customHeight="1" s="14">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row>
    <row r="420" ht="15" customHeight="1" s="14">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row>
    <row r="421" ht="15" customHeight="1" s="14">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row>
    <row r="422" ht="15" customHeight="1" s="14">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row>
    <row r="423" ht="15" customHeight="1" s="14">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row>
    <row r="424" ht="15" customHeight="1" s="1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row>
    <row r="425" ht="15" customHeight="1" s="14">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row>
    <row r="426" ht="15" customHeight="1" s="14">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row>
    <row r="427" ht="15" customHeight="1" s="14">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row>
    <row r="428" ht="15" customHeight="1" s="14">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row>
    <row r="429" ht="15" customHeight="1" s="14">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row>
    <row r="430" ht="15" customHeight="1" s="14">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row>
    <row r="431" ht="15" customHeight="1" s="14">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row>
    <row r="432" ht="15" customHeight="1" s="14">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row>
    <row r="433" ht="15" customHeight="1" s="14">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row>
    <row r="434" ht="15" customHeight="1" s="1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row>
    <row r="435" ht="15" customHeight="1" s="14">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row>
    <row r="436" ht="15" customHeight="1" s="14">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row>
    <row r="437" ht="15" customHeight="1" s="14">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row>
    <row r="438" ht="15" customHeight="1" s="14">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row>
    <row r="439" ht="15" customHeight="1" s="14">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row>
    <row r="440" ht="15" customHeight="1" s="14">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row>
    <row r="441" ht="15" customHeight="1" s="14">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row>
    <row r="442" ht="15" customHeight="1" s="14">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row>
    <row r="443" ht="15" customHeight="1" s="14">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row>
    <row r="444" ht="15" customHeight="1" s="1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row>
    <row r="445" ht="15" customHeight="1" s="14">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row>
    <row r="446" ht="15" customHeight="1" s="14">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row>
    <row r="447" ht="15" customHeight="1" s="14">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row>
    <row r="448" ht="15" customHeight="1" s="14">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row>
    <row r="449" ht="15" customHeight="1" s="14">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row>
    <row r="450" ht="15" customHeight="1" s="14">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row>
    <row r="451" ht="15" customHeight="1" s="14">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row>
    <row r="452" ht="15" customHeight="1" s="14">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row>
    <row r="453" ht="15" customHeight="1" s="14">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row>
    <row r="454" ht="15" customHeight="1" s="1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row>
    <row r="455" ht="15" customHeight="1" s="14">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row>
    <row r="456" ht="15" customHeight="1" s="14">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row>
    <row r="457" ht="15" customHeight="1" s="14">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row>
    <row r="458" ht="15" customHeight="1" s="14">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row>
    <row r="459" ht="15" customHeight="1" s="14">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row>
    <row r="460" ht="15" customHeight="1" s="14">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row>
    <row r="461" ht="15" customHeight="1" s="14">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row>
    <row r="462" ht="15" customHeight="1" s="14">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row>
    <row r="463" ht="15" customHeight="1" s="14">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row>
    <row r="464" ht="15" customHeight="1" s="1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row>
    <row r="465" ht="15" customHeight="1" s="14">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row>
    <row r="466" ht="15" customHeight="1" s="14">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row>
    <row r="467" ht="15" customHeight="1" s="14">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row>
    <row r="468" ht="15" customHeight="1" s="14">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row>
    <row r="469" ht="15" customHeight="1" s="14">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row>
    <row r="470" ht="15" customHeight="1" s="14">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row>
    <row r="471" ht="15" customHeight="1" s="14">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row>
    <row r="472" ht="15" customHeight="1" s="14">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row>
    <row r="473" ht="15" customHeight="1" s="14">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row>
    <row r="474" ht="15" customHeight="1" s="1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row>
    <row r="475" ht="15" customHeight="1" s="14">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row>
    <row r="476" ht="15" customHeight="1" s="14">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row>
    <row r="477" ht="15" customHeight="1" s="14">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row>
    <row r="478" ht="15" customHeight="1" s="14">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row>
    <row r="479" ht="15" customHeight="1" s="14">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row>
    <row r="480" ht="15" customHeight="1" s="14">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row>
    <row r="481" ht="15" customHeight="1" s="14">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row>
    <row r="482" ht="15" customHeight="1" s="14">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row>
    <row r="483" ht="15" customHeight="1" s="14">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row>
    <row r="484" ht="15" customHeight="1" s="1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row>
    <row r="485" ht="15" customHeight="1" s="14">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row>
    <row r="486" ht="15" customHeight="1" s="14">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row>
    <row r="487" ht="15" customHeight="1" s="14">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row>
    <row r="488" ht="15" customHeight="1" s="14">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row>
    <row r="489" ht="15" customHeight="1" s="14">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row>
    <row r="490" ht="15" customHeight="1" s="14">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row>
    <row r="491" ht="15" customHeight="1" s="14">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row>
    <row r="492" ht="15" customHeight="1" s="14">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row>
    <row r="493" ht="15" customHeight="1" s="14">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row>
    <row r="494" ht="15" customHeight="1" s="1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row>
    <row r="495" ht="15" customHeight="1" s="14">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row>
    <row r="496" ht="15" customHeight="1" s="14">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row>
    <row r="497" ht="15" customHeight="1" s="14">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row>
    <row r="498" ht="15" customHeight="1" s="14">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row>
    <row r="499" ht="15" customHeight="1" s="14">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row>
    <row r="500" ht="15" customHeight="1" s="14">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row>
    <row r="501" ht="15" customHeight="1" s="14">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row>
    <row r="502" ht="15" customHeight="1" s="14">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row>
    <row r="503" ht="15" customHeight="1" s="14">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row>
    <row r="504" ht="15" customHeight="1" s="1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row>
    <row r="505" ht="15" customHeight="1" s="14">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row>
    <row r="506" ht="15" customHeight="1" s="14">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row>
    <row r="507" ht="15" customHeight="1" s="14">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row>
    <row r="508" ht="15" customHeight="1" s="14">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row>
    <row r="509" ht="15" customHeight="1" s="14">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row>
    <row r="510" ht="15" customHeight="1" s="14">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row>
    <row r="511" ht="15" customHeight="1" s="14">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row>
    <row r="512" ht="15" customHeight="1" s="14">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row>
    <row r="513" ht="15" customHeight="1" s="14">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row>
    <row r="514" ht="15" customHeight="1" s="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row>
    <row r="515" ht="15" customHeight="1" s="14">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row>
    <row r="516" ht="15" customHeight="1" s="14">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row>
    <row r="517" ht="15" customHeight="1" s="14">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row>
    <row r="518" ht="15" customHeight="1" s="14">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row>
    <row r="519" ht="15" customHeight="1" s="14">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row>
    <row r="520" ht="15" customHeight="1" s="14">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row>
    <row r="521" ht="15" customHeight="1" s="14">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row>
    <row r="522" ht="15" customHeight="1" s="14">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row>
    <row r="523" ht="15" customHeight="1" s="14">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row>
    <row r="524" ht="15" customHeight="1" s="1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row>
    <row r="525" ht="15" customHeight="1" s="14">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row>
    <row r="526" ht="15" customHeight="1" s="14">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row>
    <row r="527" ht="15" customHeight="1" s="14">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row>
    <row r="528" ht="15" customHeight="1" s="14">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row>
    <row r="529" ht="15" customHeight="1" s="14">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row>
    <row r="530" ht="15" customHeight="1" s="14">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row>
    <row r="531" ht="15" customHeight="1" s="14">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row>
    <row r="532" ht="15" customHeight="1" s="14">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row>
    <row r="533" ht="15" customHeight="1" s="14">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row>
    <row r="534" ht="15" customHeight="1" s="1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row>
    <row r="535" ht="15" customHeight="1" s="14">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row>
    <row r="536" ht="15" customHeight="1" s="14">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row>
    <row r="537" ht="15" customHeight="1" s="14">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row>
    <row r="538" ht="15" customHeight="1" s="14">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row>
    <row r="539" ht="15" customHeight="1" s="14">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row>
    <row r="540" ht="15" customHeight="1" s="14">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row>
    <row r="541" ht="15" customHeight="1" s="14">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row>
    <row r="542" ht="15" customHeight="1" s="14">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row>
    <row r="543" ht="15" customHeight="1" s="14">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row>
    <row r="544" ht="15" customHeight="1" s="1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row>
    <row r="545" ht="15" customHeight="1" s="14">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row>
    <row r="546" ht="15" customHeight="1" s="14">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row>
    <row r="547" ht="15" customHeight="1" s="14">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row>
    <row r="548" ht="15" customHeight="1" s="14">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row>
    <row r="549" ht="15" customHeight="1" s="14">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row>
    <row r="550" ht="15" customHeight="1" s="14">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row>
    <row r="551" ht="15" customHeight="1" s="14">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row>
    <row r="552" ht="15" customHeight="1" s="14">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row>
    <row r="553" ht="15" customHeight="1" s="14">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row>
    <row r="554" ht="15" customHeight="1" s="1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row>
    <row r="555" ht="15" customHeight="1" s="14">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row>
    <row r="556" ht="15" customHeight="1" s="14">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row>
    <row r="557" ht="15" customHeight="1" s="14">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row>
    <row r="558" ht="15" customHeight="1" s="14">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row>
    <row r="559" ht="15" customHeight="1" s="14">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row>
  </sheetData>
  <mergeCells count="1">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18" customWidth="1" style="14" min="1" max="1"/>
  </cols>
  <sheetData>
    <row r="1">
      <c r="A1" s="28" t="inlineStr">
        <is>
          <t>RACECAR-35 REV F - CONFIRMED BUILD SPECIFICATION</t>
        </is>
      </c>
    </row>
    <row r="2">
      <c r="A2" s="29" t="inlineStr">
        <is>
          <t>(2026-10-22, 1 assembled unit)</t>
        </is>
      </c>
    </row>
    <row r="3">
      <c r="A3" s="29" t="inlineStr"/>
    </row>
    <row r="4">
      <c r="A4" s="29" t="inlineStr">
        <is>
          <t>GERBER: uploaded to the [under review] slot - Racecar-RevF-PCBWAY-GERBERS.zip,</t>
        </is>
      </c>
    </row>
    <row r="5">
      <c r="A5" s="29" t="inlineStr">
        <is>
          <t>16 files, COMPLETE set (4 copper layers, both masks, both pastes, both</t>
        </is>
      </c>
    </row>
    <row r="6">
      <c r="A6" s="29" t="inlineStr">
        <is>
          <t>silkscreens, Edge_Cuts, PTH + NPTH drills with maps, .gbrjob). This includes the</t>
        </is>
      </c>
    </row>
    <row r="7">
      <c r="A7" s="29" t="inlineStr">
        <is>
          <t>updated silkscreen (connector names, pin labels, Teensy orientation, crossed</t>
        </is>
      </c>
    </row>
    <row r="8">
      <c r="A8" s="29" t="inlineStr">
        <is>
          <t>screen-lead table). Nothing here is a one-layer upload.</t>
        </is>
      </c>
    </row>
    <row r="9">
      <c r="A9" s="29" t="inlineStr"/>
    </row>
    <row r="10">
      <c r="A10" s="29" t="inlineStr">
        <is>
          <t>STACK / PROCESS</t>
        </is>
      </c>
    </row>
    <row r="11">
      <c r="A11" s="29" t="inlineStr">
        <is>
          <t xml:space="preserve">  FR-4, 4 layers, 150.05 x 155.05 mm, 1.6 mm</t>
        </is>
      </c>
    </row>
    <row r="12">
      <c r="A12" s="29" t="inlineStr">
        <is>
          <t xml:space="preserve">  1 oz outer copper (inner layers per your standard 4-layer stackup)</t>
        </is>
      </c>
    </row>
    <row r="13">
      <c r="A13" s="29" t="inlineStr">
        <is>
          <t xml:space="preserve">  ENIG, green solder mask, white silkscreen</t>
        </is>
      </c>
    </row>
    <row r="14">
      <c r="A14" s="29" t="inlineStr">
        <is>
          <t xml:space="preserve">  Impedance control ON - 50 ohm single-ended on the GNSS feed</t>
        </is>
      </c>
    </row>
    <row r="15">
      <c r="A15" s="29" t="inlineStr">
        <is>
          <t xml:space="preserve">  Min track 0.20 mm / min spacing 0.15 mm / min hole 0.30 mm</t>
        </is>
      </c>
    </row>
    <row r="16">
      <c r="A16" s="29" t="inlineStr">
        <is>
          <t xml:space="preserve">  NO panelisation (connectors and the coin-cell holder sit on the edges)</t>
        </is>
      </c>
    </row>
    <row r="17">
      <c r="A17" s="29" t="inlineStr">
        <is>
          <t xml:space="preserve">  The 48 x 6 mm notch in the bottom edge is profile routing (Edge_Cuts),</t>
        </is>
      </c>
    </row>
    <row r="18">
      <c r="A18" s="29" t="inlineStr">
        <is>
          <t xml:space="preserve">  not an internal slot.</t>
        </is>
      </c>
    </row>
    <row r="19">
      <c r="A19" s="29" t="inlineStr"/>
    </row>
    <row r="20">
      <c r="A20" s="29" t="inlineStr">
        <is>
          <t>BOM</t>
        </is>
      </c>
    </row>
    <row r="21">
      <c r="A21" s="29" t="inlineStr">
        <is>
          <t xml:space="preserve">  77 lines, and the attached sheet matches our Rev F BOM line for line:</t>
        </is>
      </c>
    </row>
    <row r="22">
      <c r="A22" s="29" t="inlineStr">
        <is>
          <t xml:space="preserve">  same MPN, manufacturer, designators and quantities on every line, with ONE</t>
        </is>
      </c>
    </row>
    <row r="23">
      <c r="A23" s="29" t="inlineStr">
        <is>
          <t xml:space="preserve">  intended correction - U1 quantity 2 (two 1x24 sockets), which is right.</t>
        </is>
      </c>
    </row>
    <row r="24">
      <c r="A24" s="29" t="inlineStr">
        <is>
          <t xml:space="preserve">  BOM and CPL correspond 1:1: 182 designators each. H1-H4 / TP1-TP7 are PCB</t>
        </is>
      </c>
    </row>
    <row r="25">
      <c r="A25" s="29" t="inlineStr">
        <is>
          <t xml:space="preserve">  features (NPTH mounting holes, bare-copper test pads): no part, no placement.</t>
        </is>
      </c>
    </row>
    <row r="26">
      <c r="A26" s="29" t="inlineStr"/>
    </row>
    <row r="27">
      <c r="A27" s="29" t="inlineStr">
        <is>
          <t xml:space="preserve">  Actual Purchase Mfg Part # = column K, filled on all 77 lines. There is one</t>
        </is>
      </c>
    </row>
    <row r="28">
      <c r="A28" s="29" t="inlineStr">
        <is>
          <t xml:space="preserve">  exact part per line - no "equivalent" substitutions. Critical:</t>
        </is>
      </c>
    </row>
    <row r="29">
      <c r="A29" s="29" t="inlineStr">
        <is>
          <t xml:space="preserve">    U21  TCAN1042HGVDRQ1 (TI) - V suffix mandatory, authorized distribution,</t>
        </is>
      </c>
    </row>
    <row r="30">
      <c r="A30" s="29" t="inlineStr">
        <is>
          <t xml:space="preserve">         NO substitution (see the Customer Reply on that line)</t>
        </is>
      </c>
    </row>
    <row r="31">
      <c r="A31" s="29" t="inlineStr">
        <is>
          <t xml:space="preserve">    D23  SS56 - SMB / DO-214AA only</t>
        </is>
      </c>
    </row>
    <row r="32">
      <c r="A32" s="29" t="inlineStr">
        <is>
          <t xml:space="preserve">    U1   2x SSW-124-01-G-S sockets, no Teensy</t>
        </is>
      </c>
    </row>
    <row r="33">
      <c r="A33" s="29" t="inlineStr">
        <is>
          <t xml:space="preserve">    JP1/JP2  headers only, no shunts</t>
        </is>
      </c>
    </row>
    <row r="34">
      <c r="A34" s="29" t="inlineStr">
        <is>
          <t xml:space="preserve">    BT1  1058 holder only, no CR2032 cell</t>
        </is>
      </c>
    </row>
    <row r="35">
      <c r="A35" s="29" t="inlineStr">
        <is>
          <t xml:space="preserve">    J9   B2B-XH-A(LF)(SN) connector only, no lead</t>
        </is>
      </c>
    </row>
    <row r="36">
      <c r="A36" s="29" t="inlineStr">
        <is>
          <t xml:space="preserve">    U3/U6  genuine TRACO TSR 1-2433</t>
        </is>
      </c>
    </row>
    <row r="37">
      <c r="A37" s="29" t="inlineStr"/>
    </row>
    <row r="38">
      <c r="A38" s="29" t="inlineStr">
        <is>
          <t>COMMERCIAL</t>
        </is>
      </c>
    </row>
    <row r="39">
      <c r="A39" s="29" t="inlineStr">
        <is>
          <t xml:space="preserve">  We accept the 1-unit component + assembly prices shown (169.669 + 29.00).</t>
        </is>
      </c>
    </row>
    <row r="40">
      <c r="A40" s="29" t="inlineStr">
        <is>
          <t xml:space="preserve">  Please now add the PCB price (your 5-piece minimum is fine - tell us if that</t>
        </is>
      </c>
    </row>
    <row r="41">
      <c r="A41" s="29" t="inlineStr">
        <is>
          <t xml:space="preserve">  changes the unit PCB price) so the All Total is complete, and give us the</t>
        </is>
      </c>
    </row>
    <row r="42">
      <c r="A42" s="29" t="inlineStr">
        <is>
          <t xml:space="preserve">  longest lead time on the sheet. If it is easy, also show the assembly total</t>
        </is>
      </c>
    </row>
    <row r="43">
      <c r="A43" s="29" t="inlineStr">
        <is>
          <t xml:space="preserve">  at 5 units for reference - we may order more boards than assembled units.</t>
        </is>
      </c>
    </row>
    <row r="44">
      <c r="A44" s="29" t="inlineStr">
        <is>
          <t xml:space="preserve">  When the Gerber check is done, please send the proforma so we can pay.</t>
        </is>
      </c>
    </row>
    <row r="45">
      <c r="A45" s="29" t="inlineStr"/>
    </row>
    <row r="46">
      <c r="A46" s="29" t="inlineStr">
        <is>
          <t xml:space="preserve">  Reply channel: this sheet's Customer Reply column (M) and this tab.</t>
        </is>
      </c>
    </row>
    <row r="48">
      <c r="A48" t="inlineStr">
        <is>
          <t>Lines answered in column M: item 3 (D24), item 7 (D23), item 17 (U3 U6), item 26 (JP1 JP2), item 27 (U1), item 28 (BT1), item 30 (U21), item 41 (U8)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language xmlns:dc="http://purl.org/dc/elements/1.1/">en-US</dc:language>
  <dcterms:created xmlns:dcterms="http://purl.org/dc/terms/" xmlns:xsi="http://www.w3.org/2001/XMLSchema-instance" xsi:type="dcterms:W3CDTF">2020-08-20T21:41:33Z</dcterms:created>
  <dcterms:modified xmlns:dcterms="http://purl.org/dc/terms/" xmlns:xsi="http://www.w3.org/2001/XMLSchema-instance" xsi:type="dcterms:W3CDTF">2026-10-22T12:14:16Z</dcterms:modified>
  <cp:lastModifiedBy>？</cp:lastModifiedBy>
  <cp:revision>0</cp:revision>
</cp:coreProperties>
</file>

<file path=docProps/custom.xml><?xml version="1.0" encoding="utf-8"?>
<Properties xmlns="http://schemas.openxmlformats.org/officeDocument/2006/custom-properties">
  <property name="CalculationRule" fmtid="{D5CDD505-2E9C-101B-9397-08002B2CF9AE}" pid="2">
    <vt:r8 xmlns:vt="http://schemas.openxmlformats.org/officeDocument/2006/docPropsVTypes">0</vt:r8>
  </property>
  <property name="Generator" fmtid="{D5CDD505-2E9C-101B-9397-08002B2CF9AE}" pid="3">
    <vt:lpwstr xmlns:vt="http://schemas.openxmlformats.org/officeDocument/2006/docPropsVTypes">NPOI</vt:lpwstr>
  </property>
  <property name="Generator Version" fmtid="{D5CDD505-2E9C-101B-9397-08002B2CF9AE}" pid="4">
    <vt:lpwstr xmlns:vt="http://schemas.openxmlformats.org/officeDocument/2006/docPropsVTypes">2.3.0</vt:lpwstr>
  </property>
  <property name="ICV" fmtid="{D5CDD505-2E9C-101B-9397-08002B2CF9AE}" pid="5">
    <vt:lpwstr xmlns:vt="http://schemas.openxmlformats.org/officeDocument/2006/docPropsVTypes">4E2B2ED84D0F4EB79ED2B14F1FDA0306_12</vt:lpwstr>
  </property>
  <property name="KSOProductBuildVer" fmtid="{D5CDD505-2E9C-101B-9397-08002B2CF9AE}" pid="6">
    <vt:lpwstr xmlns:vt="http://schemas.openxmlformats.org/officeDocument/2006/docPropsVTypes">2052-12.1.0.29161</vt:lpwstr>
  </property>
</Properties>
</file>